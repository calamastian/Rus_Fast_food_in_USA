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F33922-2B8F-4379-8ECE-C24F2AC7466D}" xr6:coauthVersionLast="36" xr6:coauthVersionMax="36" xr10:uidLastSave="{00000000-0000-0000-0000-000000000000}"/>
  <bookViews>
    <workbookView xWindow="0" yWindow="0" windowWidth="28800" windowHeight="12225" tabRatio="861" firstSheet="1" activeTab="9" xr2:uid="{00000000-000D-0000-FFFF-FFFF00000000}"/>
  </bookViews>
  <sheets>
    <sheet name="Inputs --&gt;" sheetId="8" r:id="rId1"/>
    <sheet name="Menu and cost - Russia" sheetId="1" r:id="rId2"/>
    <sheet name="COGS" sheetId="2" r:id="rId3"/>
    <sheet name="Order Composition" sheetId="3" r:id="rId4"/>
    <sheet name="Solution --&gt;" sheetId="9" r:id="rId5"/>
    <sheet name="Mean order price" sheetId="11" r:id="rId6"/>
    <sheet name="Menu and cost - USA by city" sheetId="12" r:id="rId7"/>
    <sheet name="Pivot tables" sheetId="13" r:id="rId8"/>
    <sheet name="Revenue&amp;Margin" sheetId="14" r:id="rId9"/>
    <sheet name="Priority" sheetId="15" r:id="rId10"/>
    <sheet name="Total Score" sheetId="16" r:id="rId11"/>
  </sheets>
  <calcPr calcId="191029"/>
  <pivotCaches>
    <pivotCache cacheId="0" r:id="rId12"/>
    <pivotCache cacheId="1" r:id="rId13"/>
  </pivotCaches>
</workbook>
</file>

<file path=xl/calcChain.xml><?xml version="1.0" encoding="utf-8"?>
<calcChain xmlns="http://schemas.openxmlformats.org/spreadsheetml/2006/main">
  <c r="I11" i="16" l="1"/>
  <c r="H11" i="16"/>
  <c r="G11" i="16"/>
  <c r="F11" i="16"/>
  <c r="E11" i="16"/>
  <c r="D11" i="16"/>
  <c r="I8" i="15"/>
  <c r="H8" i="15"/>
  <c r="G8" i="15"/>
  <c r="F8" i="15"/>
  <c r="E8" i="15"/>
  <c r="D8" i="15"/>
  <c r="C40" i="14"/>
  <c r="B40" i="14"/>
  <c r="C39" i="14"/>
  <c r="B39" i="14"/>
  <c r="C37" i="14"/>
  <c r="B37" i="14"/>
  <c r="C36" i="14"/>
  <c r="B36" i="14"/>
  <c r="C35" i="14"/>
  <c r="B35" i="14"/>
  <c r="C34" i="14"/>
  <c r="C33" i="14"/>
  <c r="C32" i="14"/>
  <c r="B32" i="14"/>
  <c r="C31" i="14"/>
  <c r="C30" i="14"/>
  <c r="B30" i="14"/>
  <c r="C28" i="14"/>
  <c r="B28" i="14"/>
  <c r="A25" i="14"/>
  <c r="G23" i="14"/>
  <c r="G22" i="14"/>
  <c r="G21" i="14"/>
  <c r="G20" i="14"/>
  <c r="G19" i="14"/>
  <c r="G18" i="14"/>
  <c r="G17" i="14"/>
  <c r="G16" i="14"/>
  <c r="B11" i="14"/>
  <c r="B10" i="14"/>
  <c r="B8" i="14"/>
  <c r="B5" i="14"/>
  <c r="B2" i="14"/>
  <c r="B1" i="14"/>
  <c r="L61" i="13"/>
  <c r="L60" i="13"/>
  <c r="L59" i="13"/>
  <c r="L58" i="13"/>
  <c r="L57" i="13"/>
  <c r="L56" i="13"/>
  <c r="L55" i="13"/>
  <c r="L54" i="13"/>
  <c r="P31" i="13"/>
  <c r="P30" i="13"/>
  <c r="L26" i="13"/>
  <c r="L25" i="13"/>
  <c r="L24" i="13"/>
  <c r="L23" i="13"/>
  <c r="L22" i="13"/>
  <c r="L21" i="13"/>
  <c r="L20" i="13"/>
  <c r="L19" i="13"/>
  <c r="W211" i="12"/>
  <c r="X211" i="12" s="1"/>
  <c r="S211" i="12"/>
  <c r="O211" i="12"/>
  <c r="P211" i="12" s="1"/>
  <c r="F211" i="12" s="1"/>
  <c r="V211" i="12" s="1"/>
  <c r="M211" i="12"/>
  <c r="E211" i="12"/>
  <c r="W210" i="12"/>
  <c r="U210" i="12"/>
  <c r="S210" i="12"/>
  <c r="O210" i="12"/>
  <c r="P210" i="12" s="1"/>
  <c r="M210" i="12"/>
  <c r="F210" i="12"/>
  <c r="V210" i="12" s="1"/>
  <c r="E210" i="12"/>
  <c r="W209" i="12"/>
  <c r="S209" i="12"/>
  <c r="O209" i="12"/>
  <c r="P209" i="12" s="1"/>
  <c r="F209" i="12" s="1"/>
  <c r="M209" i="12"/>
  <c r="E209" i="12"/>
  <c r="W208" i="12"/>
  <c r="U208" i="12"/>
  <c r="S208" i="12"/>
  <c r="P208" i="12"/>
  <c r="X208" i="12" s="1"/>
  <c r="O208" i="12"/>
  <c r="M208" i="12"/>
  <c r="F208" i="12"/>
  <c r="V208" i="12" s="1"/>
  <c r="E208" i="12"/>
  <c r="W207" i="12"/>
  <c r="S207" i="12"/>
  <c r="O207" i="12"/>
  <c r="P207" i="12" s="1"/>
  <c r="F207" i="12" s="1"/>
  <c r="M207" i="12"/>
  <c r="E207" i="12"/>
  <c r="U207" i="12" s="1"/>
  <c r="W206" i="12"/>
  <c r="U206" i="12"/>
  <c r="S206" i="12"/>
  <c r="O206" i="12"/>
  <c r="P206" i="12" s="1"/>
  <c r="F206" i="12" s="1"/>
  <c r="M206" i="12"/>
  <c r="E206" i="12"/>
  <c r="W205" i="12"/>
  <c r="X205" i="12" s="1"/>
  <c r="S205" i="12"/>
  <c r="O205" i="12"/>
  <c r="P205" i="12" s="1"/>
  <c r="F205" i="12" s="1"/>
  <c r="M205" i="12"/>
  <c r="E205" i="12"/>
  <c r="W204" i="12"/>
  <c r="U204" i="12"/>
  <c r="S204" i="12"/>
  <c r="Q204" i="12"/>
  <c r="R204" i="12" s="1"/>
  <c r="P204" i="12"/>
  <c r="X204" i="12" s="1"/>
  <c r="O204" i="12"/>
  <c r="M204" i="12"/>
  <c r="F204" i="12"/>
  <c r="V204" i="12" s="1"/>
  <c r="E204" i="12"/>
  <c r="W203" i="12"/>
  <c r="S203" i="12"/>
  <c r="O203" i="12"/>
  <c r="P203" i="12" s="1"/>
  <c r="F203" i="12" s="1"/>
  <c r="M203" i="12"/>
  <c r="E203" i="12"/>
  <c r="W202" i="12"/>
  <c r="U202" i="12"/>
  <c r="S202" i="12"/>
  <c r="O202" i="12"/>
  <c r="P202" i="12" s="1"/>
  <c r="F202" i="12" s="1"/>
  <c r="M202" i="12"/>
  <c r="E202" i="12"/>
  <c r="W201" i="12"/>
  <c r="X201" i="12" s="1"/>
  <c r="S201" i="12"/>
  <c r="O201" i="12"/>
  <c r="P201" i="12" s="1"/>
  <c r="F201" i="12" s="1"/>
  <c r="M201" i="12"/>
  <c r="E201" i="12"/>
  <c r="W200" i="12"/>
  <c r="U200" i="12"/>
  <c r="S200" i="12"/>
  <c r="P200" i="12"/>
  <c r="X200" i="12" s="1"/>
  <c r="O200" i="12"/>
  <c r="M200" i="12"/>
  <c r="F200" i="12"/>
  <c r="V200" i="12" s="1"/>
  <c r="E200" i="12"/>
  <c r="W199" i="12"/>
  <c r="X199" i="12" s="1"/>
  <c r="S199" i="12"/>
  <c r="O199" i="12"/>
  <c r="P199" i="12" s="1"/>
  <c r="F199" i="12" s="1"/>
  <c r="M199" i="12"/>
  <c r="E199" i="12"/>
  <c r="W198" i="12"/>
  <c r="X198" i="12" s="1"/>
  <c r="U198" i="12"/>
  <c r="S198" i="12"/>
  <c r="Q198" i="12"/>
  <c r="O198" i="12"/>
  <c r="P198" i="12" s="1"/>
  <c r="M198" i="12"/>
  <c r="F198" i="12"/>
  <c r="V198" i="12" s="1"/>
  <c r="E198" i="12"/>
  <c r="W197" i="12"/>
  <c r="S197" i="12"/>
  <c r="O197" i="12"/>
  <c r="P197" i="12" s="1"/>
  <c r="F197" i="12" s="1"/>
  <c r="M197" i="12"/>
  <c r="E197" i="12"/>
  <c r="W196" i="12"/>
  <c r="U196" i="12"/>
  <c r="S196" i="12"/>
  <c r="P196" i="12"/>
  <c r="X196" i="12" s="1"/>
  <c r="O196" i="12"/>
  <c r="M196" i="12"/>
  <c r="F196" i="12"/>
  <c r="V196" i="12" s="1"/>
  <c r="E196" i="12"/>
  <c r="W195" i="12"/>
  <c r="X195" i="12" s="1"/>
  <c r="S195" i="12"/>
  <c r="O195" i="12"/>
  <c r="P195" i="12" s="1"/>
  <c r="F195" i="12" s="1"/>
  <c r="M195" i="12"/>
  <c r="E195" i="12"/>
  <c r="U195" i="12" s="1"/>
  <c r="W194" i="12"/>
  <c r="X194" i="12" s="1"/>
  <c r="U194" i="12"/>
  <c r="S194" i="12"/>
  <c r="O194" i="12"/>
  <c r="P194" i="12" s="1"/>
  <c r="M194" i="12"/>
  <c r="F194" i="12"/>
  <c r="V194" i="12" s="1"/>
  <c r="E194" i="12"/>
  <c r="W193" i="12"/>
  <c r="S193" i="12"/>
  <c r="O193" i="12"/>
  <c r="P193" i="12" s="1"/>
  <c r="F193" i="12" s="1"/>
  <c r="M193" i="12"/>
  <c r="E193" i="12"/>
  <c r="W192" i="12"/>
  <c r="U192" i="12"/>
  <c r="S192" i="12"/>
  <c r="P192" i="12"/>
  <c r="X192" i="12" s="1"/>
  <c r="O192" i="12"/>
  <c r="M192" i="12"/>
  <c r="F192" i="12"/>
  <c r="E192" i="12"/>
  <c r="W191" i="12"/>
  <c r="S191" i="12"/>
  <c r="O191" i="12"/>
  <c r="P191" i="12" s="1"/>
  <c r="F191" i="12" s="1"/>
  <c r="M191" i="12"/>
  <c r="E191" i="12"/>
  <c r="U191" i="12" s="1"/>
  <c r="W190" i="12"/>
  <c r="X190" i="12" s="1"/>
  <c r="U190" i="12"/>
  <c r="S190" i="12"/>
  <c r="O190" i="12"/>
  <c r="P190" i="12" s="1"/>
  <c r="F190" i="12" s="1"/>
  <c r="M190" i="12"/>
  <c r="E190" i="12"/>
  <c r="W189" i="12"/>
  <c r="X189" i="12" s="1"/>
  <c r="S189" i="12"/>
  <c r="O189" i="12"/>
  <c r="P189" i="12" s="1"/>
  <c r="F189" i="12" s="1"/>
  <c r="M189" i="12"/>
  <c r="E189" i="12"/>
  <c r="W188" i="12"/>
  <c r="U188" i="12"/>
  <c r="S188" i="12"/>
  <c r="Q188" i="12"/>
  <c r="R188" i="12" s="1"/>
  <c r="P188" i="12"/>
  <c r="X188" i="12" s="1"/>
  <c r="O188" i="12"/>
  <c r="M188" i="12"/>
  <c r="F188" i="12"/>
  <c r="V188" i="12" s="1"/>
  <c r="E188" i="12"/>
  <c r="W187" i="12"/>
  <c r="S187" i="12"/>
  <c r="O187" i="12"/>
  <c r="P187" i="12" s="1"/>
  <c r="F187" i="12" s="1"/>
  <c r="M187" i="12"/>
  <c r="E187" i="12"/>
  <c r="W186" i="12"/>
  <c r="X186" i="12" s="1"/>
  <c r="U186" i="12"/>
  <c r="S186" i="12"/>
  <c r="Q186" i="12"/>
  <c r="R186" i="12" s="1"/>
  <c r="O186" i="12"/>
  <c r="P186" i="12" s="1"/>
  <c r="F186" i="12" s="1"/>
  <c r="V186" i="12" s="1"/>
  <c r="M186" i="12"/>
  <c r="E186" i="12"/>
  <c r="W185" i="12"/>
  <c r="X185" i="12" s="1"/>
  <c r="S185" i="12"/>
  <c r="O185" i="12"/>
  <c r="P185" i="12" s="1"/>
  <c r="F185" i="12" s="1"/>
  <c r="M185" i="12"/>
  <c r="E185" i="12"/>
  <c r="W184" i="12"/>
  <c r="X184" i="12" s="1"/>
  <c r="U184" i="12"/>
  <c r="S184" i="12"/>
  <c r="O184" i="12"/>
  <c r="P184" i="12" s="1"/>
  <c r="M184" i="12"/>
  <c r="F184" i="12"/>
  <c r="E184" i="12"/>
  <c r="W183" i="12"/>
  <c r="S183" i="12"/>
  <c r="O183" i="12"/>
  <c r="P183" i="12" s="1"/>
  <c r="F183" i="12" s="1"/>
  <c r="M183" i="12"/>
  <c r="E183" i="12"/>
  <c r="W182" i="12"/>
  <c r="U182" i="12"/>
  <c r="S182" i="12"/>
  <c r="O182" i="12"/>
  <c r="P182" i="12" s="1"/>
  <c r="F182" i="12" s="1"/>
  <c r="V182" i="12" s="1"/>
  <c r="M182" i="12"/>
  <c r="E182" i="12"/>
  <c r="W181" i="12"/>
  <c r="X181" i="12" s="1"/>
  <c r="S181" i="12"/>
  <c r="O181" i="12"/>
  <c r="P181" i="12" s="1"/>
  <c r="F181" i="12" s="1"/>
  <c r="M181" i="12"/>
  <c r="E181" i="12"/>
  <c r="W180" i="12"/>
  <c r="U180" i="12"/>
  <c r="S180" i="12"/>
  <c r="O180" i="12"/>
  <c r="P180" i="12" s="1"/>
  <c r="M180" i="12"/>
  <c r="F180" i="12"/>
  <c r="E180" i="12"/>
  <c r="W179" i="12"/>
  <c r="S179" i="12"/>
  <c r="O179" i="12"/>
  <c r="P179" i="12" s="1"/>
  <c r="F179" i="12" s="1"/>
  <c r="M179" i="12"/>
  <c r="E179" i="12"/>
  <c r="W178" i="12"/>
  <c r="X178" i="12" s="1"/>
  <c r="U178" i="12"/>
  <c r="S178" i="12"/>
  <c r="Q178" i="12"/>
  <c r="R178" i="12" s="1"/>
  <c r="O178" i="12"/>
  <c r="P178" i="12" s="1"/>
  <c r="F178" i="12" s="1"/>
  <c r="V178" i="12" s="1"/>
  <c r="M178" i="12"/>
  <c r="E178" i="12"/>
  <c r="W177" i="12"/>
  <c r="X177" i="12" s="1"/>
  <c r="S177" i="12"/>
  <c r="O177" i="12"/>
  <c r="P177" i="12" s="1"/>
  <c r="F177" i="12" s="1"/>
  <c r="M177" i="12"/>
  <c r="E177" i="12"/>
  <c r="W176" i="12"/>
  <c r="U176" i="12"/>
  <c r="S176" i="12"/>
  <c r="O176" i="12"/>
  <c r="P176" i="12" s="1"/>
  <c r="M176" i="12"/>
  <c r="F176" i="12"/>
  <c r="E176" i="12"/>
  <c r="W175" i="12"/>
  <c r="S175" i="12"/>
  <c r="O175" i="12"/>
  <c r="P175" i="12" s="1"/>
  <c r="F175" i="12" s="1"/>
  <c r="M175" i="12"/>
  <c r="E175" i="12"/>
  <c r="W174" i="12"/>
  <c r="U174" i="12"/>
  <c r="S174" i="12"/>
  <c r="O174" i="12"/>
  <c r="P174" i="12" s="1"/>
  <c r="F174" i="12" s="1"/>
  <c r="M174" i="12"/>
  <c r="E174" i="12"/>
  <c r="W173" i="12"/>
  <c r="X173" i="12" s="1"/>
  <c r="S173" i="12"/>
  <c r="O173" i="12"/>
  <c r="P173" i="12" s="1"/>
  <c r="F173" i="12" s="1"/>
  <c r="M173" i="12"/>
  <c r="E173" i="12"/>
  <c r="W172" i="12"/>
  <c r="U172" i="12"/>
  <c r="S172" i="12"/>
  <c r="O172" i="12"/>
  <c r="P172" i="12" s="1"/>
  <c r="M172" i="12"/>
  <c r="F172" i="12"/>
  <c r="E172" i="12"/>
  <c r="W171" i="12"/>
  <c r="S171" i="12"/>
  <c r="O171" i="12"/>
  <c r="P171" i="12" s="1"/>
  <c r="F171" i="12" s="1"/>
  <c r="M171" i="12"/>
  <c r="E171" i="12"/>
  <c r="W170" i="12"/>
  <c r="U170" i="12"/>
  <c r="S170" i="12"/>
  <c r="Q170" i="12"/>
  <c r="R170" i="12" s="1"/>
  <c r="O170" i="12"/>
  <c r="P170" i="12" s="1"/>
  <c r="F170" i="12" s="1"/>
  <c r="V170" i="12" s="1"/>
  <c r="M170" i="12"/>
  <c r="E170" i="12"/>
  <c r="W169" i="12"/>
  <c r="X169" i="12" s="1"/>
  <c r="S169" i="12"/>
  <c r="O169" i="12"/>
  <c r="P169" i="12" s="1"/>
  <c r="F169" i="12" s="1"/>
  <c r="M169" i="12"/>
  <c r="E169" i="12"/>
  <c r="W168" i="12"/>
  <c r="U168" i="12"/>
  <c r="S168" i="12"/>
  <c r="O168" i="12"/>
  <c r="P168" i="12" s="1"/>
  <c r="M168" i="12"/>
  <c r="F168" i="12"/>
  <c r="E168" i="12"/>
  <c r="W167" i="12"/>
  <c r="X167" i="12" s="1"/>
  <c r="S167" i="12"/>
  <c r="O167" i="12"/>
  <c r="P167" i="12" s="1"/>
  <c r="F167" i="12" s="1"/>
  <c r="M167" i="12"/>
  <c r="E167" i="12"/>
  <c r="W166" i="12"/>
  <c r="U166" i="12"/>
  <c r="S166" i="12"/>
  <c r="O166" i="12"/>
  <c r="P166" i="12" s="1"/>
  <c r="M166" i="12"/>
  <c r="F166" i="12"/>
  <c r="E166" i="12"/>
  <c r="W165" i="12"/>
  <c r="X165" i="12" s="1"/>
  <c r="S165" i="12"/>
  <c r="O165" i="12"/>
  <c r="P165" i="12" s="1"/>
  <c r="M165" i="12"/>
  <c r="F165" i="12"/>
  <c r="E165" i="12"/>
  <c r="W164" i="12"/>
  <c r="U164" i="12"/>
  <c r="S164" i="12"/>
  <c r="O164" i="12"/>
  <c r="P164" i="12" s="1"/>
  <c r="M164" i="12"/>
  <c r="F164" i="12"/>
  <c r="E164" i="12"/>
  <c r="W163" i="12"/>
  <c r="X163" i="12" s="1"/>
  <c r="S163" i="12"/>
  <c r="O163" i="12"/>
  <c r="P163" i="12" s="1"/>
  <c r="F163" i="12" s="1"/>
  <c r="M163" i="12"/>
  <c r="E163" i="12"/>
  <c r="U163" i="12" s="1"/>
  <c r="W162" i="12"/>
  <c r="U162" i="12"/>
  <c r="S162" i="12"/>
  <c r="O162" i="12"/>
  <c r="P162" i="12" s="1"/>
  <c r="M162" i="12"/>
  <c r="F162" i="12"/>
  <c r="E162" i="12"/>
  <c r="W161" i="12"/>
  <c r="X161" i="12" s="1"/>
  <c r="S161" i="12"/>
  <c r="O161" i="12"/>
  <c r="P161" i="12" s="1"/>
  <c r="M161" i="12"/>
  <c r="F161" i="12"/>
  <c r="E161" i="12"/>
  <c r="W160" i="12"/>
  <c r="U160" i="12"/>
  <c r="S160" i="12"/>
  <c r="O160" i="12"/>
  <c r="P160" i="12" s="1"/>
  <c r="M160" i="12"/>
  <c r="F160" i="12"/>
  <c r="E160" i="12"/>
  <c r="W159" i="12"/>
  <c r="X159" i="12" s="1"/>
  <c r="S159" i="12"/>
  <c r="O159" i="12"/>
  <c r="P159" i="12" s="1"/>
  <c r="F159" i="12" s="1"/>
  <c r="M159" i="12"/>
  <c r="E159" i="12"/>
  <c r="U159" i="12" s="1"/>
  <c r="W158" i="12"/>
  <c r="U158" i="12"/>
  <c r="S158" i="12"/>
  <c r="O158" i="12"/>
  <c r="P158" i="12" s="1"/>
  <c r="M158" i="12"/>
  <c r="F158" i="12"/>
  <c r="E158" i="12"/>
  <c r="W157" i="12"/>
  <c r="X157" i="12" s="1"/>
  <c r="U157" i="12"/>
  <c r="S157" i="12"/>
  <c r="O157" i="12"/>
  <c r="P157" i="12" s="1"/>
  <c r="M157" i="12"/>
  <c r="F157" i="12"/>
  <c r="E157" i="12"/>
  <c r="W156" i="12"/>
  <c r="S156" i="12"/>
  <c r="O156" i="12"/>
  <c r="P156" i="12" s="1"/>
  <c r="M156" i="12"/>
  <c r="F156" i="12"/>
  <c r="E156" i="12"/>
  <c r="W155" i="12"/>
  <c r="X155" i="12" s="1"/>
  <c r="S155" i="12"/>
  <c r="O155" i="12"/>
  <c r="P155" i="12" s="1"/>
  <c r="F155" i="12" s="1"/>
  <c r="M155" i="12"/>
  <c r="E155" i="12"/>
  <c r="W154" i="12"/>
  <c r="U154" i="12"/>
  <c r="S154" i="12"/>
  <c r="O154" i="12"/>
  <c r="P154" i="12" s="1"/>
  <c r="M154" i="12"/>
  <c r="F154" i="12"/>
  <c r="E154" i="12"/>
  <c r="W153" i="12"/>
  <c r="X153" i="12" s="1"/>
  <c r="S153" i="12"/>
  <c r="P153" i="12"/>
  <c r="O153" i="12"/>
  <c r="M153" i="12"/>
  <c r="F153" i="12"/>
  <c r="E153" i="12"/>
  <c r="W152" i="12"/>
  <c r="U152" i="12"/>
  <c r="S152" i="12"/>
  <c r="O152" i="12"/>
  <c r="P152" i="12" s="1"/>
  <c r="F152" i="12" s="1"/>
  <c r="Q152" i="12" s="1"/>
  <c r="R152" i="12" s="1"/>
  <c r="M152" i="12"/>
  <c r="E152" i="12"/>
  <c r="W151" i="12"/>
  <c r="X151" i="12" s="1"/>
  <c r="S151" i="12"/>
  <c r="O151" i="12"/>
  <c r="P151" i="12" s="1"/>
  <c r="M151" i="12"/>
  <c r="F151" i="12"/>
  <c r="V151" i="12" s="1"/>
  <c r="E151" i="12"/>
  <c r="W150" i="12"/>
  <c r="U150" i="12"/>
  <c r="S150" i="12"/>
  <c r="O150" i="12"/>
  <c r="P150" i="12" s="1"/>
  <c r="F150" i="12" s="1"/>
  <c r="M150" i="12"/>
  <c r="E150" i="12"/>
  <c r="X149" i="12"/>
  <c r="W149" i="12"/>
  <c r="S149" i="12"/>
  <c r="O149" i="12"/>
  <c r="P149" i="12" s="1"/>
  <c r="F149" i="12" s="1"/>
  <c r="M149" i="12"/>
  <c r="E149" i="12"/>
  <c r="X148" i="12"/>
  <c r="W148" i="12"/>
  <c r="S148" i="12"/>
  <c r="Q148" i="12"/>
  <c r="P148" i="12"/>
  <c r="F148" i="12" s="1"/>
  <c r="V148" i="12" s="1"/>
  <c r="O148" i="12"/>
  <c r="M148" i="12"/>
  <c r="E148" i="12"/>
  <c r="U148" i="12" s="1"/>
  <c r="W147" i="12"/>
  <c r="S147" i="12"/>
  <c r="O147" i="12"/>
  <c r="P147" i="12" s="1"/>
  <c r="F147" i="12" s="1"/>
  <c r="V147" i="12" s="1"/>
  <c r="M147" i="12"/>
  <c r="E147" i="12"/>
  <c r="X146" i="12"/>
  <c r="W146" i="12"/>
  <c r="U146" i="12"/>
  <c r="S146" i="12"/>
  <c r="P146" i="12"/>
  <c r="F146" i="12" s="1"/>
  <c r="V146" i="12" s="1"/>
  <c r="O146" i="12"/>
  <c r="M146" i="12"/>
  <c r="E146" i="12"/>
  <c r="W145" i="12"/>
  <c r="V145" i="12"/>
  <c r="S145" i="12"/>
  <c r="O145" i="12"/>
  <c r="P145" i="12" s="1"/>
  <c r="F145" i="12" s="1"/>
  <c r="M145" i="12"/>
  <c r="E145" i="12"/>
  <c r="X144" i="12"/>
  <c r="W144" i="12"/>
  <c r="U144" i="12"/>
  <c r="S144" i="12"/>
  <c r="P144" i="12"/>
  <c r="O144" i="12"/>
  <c r="M144" i="12"/>
  <c r="F144" i="12"/>
  <c r="V144" i="12" s="1"/>
  <c r="E144" i="12"/>
  <c r="Q144" i="12" s="1"/>
  <c r="W143" i="12"/>
  <c r="S143" i="12"/>
  <c r="O143" i="12"/>
  <c r="P143" i="12" s="1"/>
  <c r="F143" i="12" s="1"/>
  <c r="M143" i="12"/>
  <c r="E143" i="12"/>
  <c r="U143" i="12" s="1"/>
  <c r="W142" i="12"/>
  <c r="S142" i="12"/>
  <c r="O142" i="12"/>
  <c r="P142" i="12" s="1"/>
  <c r="M142" i="12"/>
  <c r="E142" i="12"/>
  <c r="U142" i="12" s="1"/>
  <c r="W141" i="12"/>
  <c r="X141" i="12" s="1"/>
  <c r="U141" i="12"/>
  <c r="S141" i="12"/>
  <c r="O141" i="12"/>
  <c r="P141" i="12" s="1"/>
  <c r="M141" i="12"/>
  <c r="F141" i="12"/>
  <c r="V141" i="12" s="1"/>
  <c r="E141" i="12"/>
  <c r="X140" i="12"/>
  <c r="W140" i="12"/>
  <c r="S140" i="12"/>
  <c r="Q140" i="12"/>
  <c r="P140" i="12"/>
  <c r="F140" i="12" s="1"/>
  <c r="V140" i="12" s="1"/>
  <c r="O140" i="12"/>
  <c r="M140" i="12"/>
  <c r="E140" i="12"/>
  <c r="U140" i="12" s="1"/>
  <c r="W139" i="12"/>
  <c r="V139" i="12"/>
  <c r="S139" i="12"/>
  <c r="R139" i="12"/>
  <c r="Q139" i="12"/>
  <c r="O139" i="12"/>
  <c r="P139" i="12" s="1"/>
  <c r="F139" i="12" s="1"/>
  <c r="M139" i="12"/>
  <c r="E139" i="12"/>
  <c r="X138" i="12"/>
  <c r="W138" i="12"/>
  <c r="T138" i="12"/>
  <c r="S138" i="12"/>
  <c r="P138" i="12"/>
  <c r="O138" i="12"/>
  <c r="M138" i="12"/>
  <c r="F138" i="12"/>
  <c r="V138" i="12" s="1"/>
  <c r="E138" i="12"/>
  <c r="Q138" i="12" s="1"/>
  <c r="R138" i="12" s="1"/>
  <c r="W137" i="12"/>
  <c r="X137" i="12" s="1"/>
  <c r="U137" i="12"/>
  <c r="S137" i="12"/>
  <c r="O137" i="12"/>
  <c r="P137" i="12" s="1"/>
  <c r="F137" i="12" s="1"/>
  <c r="V137" i="12" s="1"/>
  <c r="M137" i="12"/>
  <c r="E137" i="12"/>
  <c r="X136" i="12"/>
  <c r="W136" i="12"/>
  <c r="S136" i="12"/>
  <c r="Q136" i="12"/>
  <c r="P136" i="12"/>
  <c r="F136" i="12" s="1"/>
  <c r="V136" i="12" s="1"/>
  <c r="O136" i="12"/>
  <c r="M136" i="12"/>
  <c r="E136" i="12"/>
  <c r="U136" i="12" s="1"/>
  <c r="W135" i="12"/>
  <c r="X135" i="12" s="1"/>
  <c r="S135" i="12"/>
  <c r="Q135" i="12"/>
  <c r="R135" i="12" s="1"/>
  <c r="O135" i="12"/>
  <c r="P135" i="12" s="1"/>
  <c r="F135" i="12" s="1"/>
  <c r="M135" i="12"/>
  <c r="E135" i="12"/>
  <c r="X134" i="12"/>
  <c r="W134" i="12"/>
  <c r="S134" i="12"/>
  <c r="P134" i="12"/>
  <c r="O134" i="12"/>
  <c r="M134" i="12"/>
  <c r="F134" i="12"/>
  <c r="V134" i="12" s="1"/>
  <c r="E134" i="12"/>
  <c r="U134" i="12" s="1"/>
  <c r="W133" i="12"/>
  <c r="S133" i="12"/>
  <c r="O133" i="12"/>
  <c r="P133" i="12" s="1"/>
  <c r="F133" i="12" s="1"/>
  <c r="V133" i="12" s="1"/>
  <c r="M133" i="12"/>
  <c r="E133" i="12"/>
  <c r="W132" i="12"/>
  <c r="S132" i="12"/>
  <c r="P132" i="12"/>
  <c r="X132" i="12" s="1"/>
  <c r="O132" i="12"/>
  <c r="M132" i="12"/>
  <c r="F132" i="12"/>
  <c r="E132" i="12"/>
  <c r="W131" i="12"/>
  <c r="X131" i="12" s="1"/>
  <c r="S131" i="12"/>
  <c r="O131" i="12"/>
  <c r="P131" i="12" s="1"/>
  <c r="F131" i="12" s="1"/>
  <c r="M131" i="12"/>
  <c r="E131" i="12"/>
  <c r="W130" i="12"/>
  <c r="S130" i="12"/>
  <c r="O130" i="12"/>
  <c r="P130" i="12" s="1"/>
  <c r="F130" i="12" s="1"/>
  <c r="V130" i="12" s="1"/>
  <c r="M130" i="12"/>
  <c r="E130" i="12"/>
  <c r="U130" i="12" s="1"/>
  <c r="W129" i="12"/>
  <c r="S129" i="12"/>
  <c r="O129" i="12"/>
  <c r="P129" i="12" s="1"/>
  <c r="M129" i="12"/>
  <c r="F129" i="12"/>
  <c r="V129" i="12" s="1"/>
  <c r="E129" i="12"/>
  <c r="X128" i="12"/>
  <c r="W128" i="12"/>
  <c r="S128" i="12"/>
  <c r="P128" i="12"/>
  <c r="O128" i="12"/>
  <c r="M128" i="12"/>
  <c r="F128" i="12"/>
  <c r="E128" i="12"/>
  <c r="Q128" i="12" s="1"/>
  <c r="R128" i="12" s="1"/>
  <c r="W127" i="12"/>
  <c r="S127" i="12"/>
  <c r="O127" i="12"/>
  <c r="P127" i="12" s="1"/>
  <c r="F127" i="12" s="1"/>
  <c r="Q127" i="12" s="1"/>
  <c r="R127" i="12" s="1"/>
  <c r="M127" i="12"/>
  <c r="E127" i="12"/>
  <c r="U127" i="12" s="1"/>
  <c r="X126" i="12"/>
  <c r="W126" i="12"/>
  <c r="S126" i="12"/>
  <c r="Q126" i="12"/>
  <c r="O126" i="12"/>
  <c r="P126" i="12" s="1"/>
  <c r="F126" i="12" s="1"/>
  <c r="V126" i="12" s="1"/>
  <c r="M126" i="12"/>
  <c r="E126" i="12"/>
  <c r="U126" i="12" s="1"/>
  <c r="W125" i="12"/>
  <c r="U125" i="12"/>
  <c r="S125" i="12"/>
  <c r="O125" i="12"/>
  <c r="P125" i="12" s="1"/>
  <c r="F125" i="12" s="1"/>
  <c r="V125" i="12" s="1"/>
  <c r="M125" i="12"/>
  <c r="E125" i="12"/>
  <c r="X124" i="12"/>
  <c r="W124" i="12"/>
  <c r="U124" i="12"/>
  <c r="S124" i="12"/>
  <c r="P124" i="12"/>
  <c r="F124" i="12" s="1"/>
  <c r="V124" i="12" s="1"/>
  <c r="O124" i="12"/>
  <c r="M124" i="12"/>
  <c r="E124" i="12"/>
  <c r="W123" i="12"/>
  <c r="V123" i="12"/>
  <c r="S123" i="12"/>
  <c r="Q123" i="12"/>
  <c r="R123" i="12" s="1"/>
  <c r="O123" i="12"/>
  <c r="P123" i="12" s="1"/>
  <c r="F123" i="12" s="1"/>
  <c r="M123" i="12"/>
  <c r="E123" i="12"/>
  <c r="U123" i="12" s="1"/>
  <c r="X122" i="12"/>
  <c r="W122" i="12"/>
  <c r="U122" i="12"/>
  <c r="S122" i="12"/>
  <c r="P122" i="12"/>
  <c r="F122" i="12" s="1"/>
  <c r="V122" i="12" s="1"/>
  <c r="O122" i="12"/>
  <c r="M122" i="12"/>
  <c r="E122" i="12"/>
  <c r="W121" i="12"/>
  <c r="X121" i="12" s="1"/>
  <c r="S121" i="12"/>
  <c r="O121" i="12"/>
  <c r="P121" i="12" s="1"/>
  <c r="M121" i="12"/>
  <c r="F121" i="12"/>
  <c r="E121" i="12"/>
  <c r="W120" i="12"/>
  <c r="S120" i="12"/>
  <c r="P120" i="12"/>
  <c r="X120" i="12" s="1"/>
  <c r="O120" i="12"/>
  <c r="M120" i="12"/>
  <c r="E120" i="12"/>
  <c r="U120" i="12" s="1"/>
  <c r="W119" i="12"/>
  <c r="S119" i="12"/>
  <c r="Q119" i="12"/>
  <c r="R119" i="12" s="1"/>
  <c r="O119" i="12"/>
  <c r="P119" i="12" s="1"/>
  <c r="F119" i="12" s="1"/>
  <c r="V119" i="12" s="1"/>
  <c r="M119" i="12"/>
  <c r="E119" i="12"/>
  <c r="W118" i="12"/>
  <c r="X118" i="12" s="1"/>
  <c r="S118" i="12"/>
  <c r="P118" i="12"/>
  <c r="F118" i="12" s="1"/>
  <c r="V118" i="12" s="1"/>
  <c r="O118" i="12"/>
  <c r="M118" i="12"/>
  <c r="E118" i="12"/>
  <c r="U118" i="12" s="1"/>
  <c r="W117" i="12"/>
  <c r="S117" i="12"/>
  <c r="O117" i="12"/>
  <c r="P117" i="12" s="1"/>
  <c r="F117" i="12" s="1"/>
  <c r="V117" i="12" s="1"/>
  <c r="M117" i="12"/>
  <c r="E117" i="12"/>
  <c r="W116" i="12"/>
  <c r="S116" i="12"/>
  <c r="P116" i="12"/>
  <c r="X116" i="12" s="1"/>
  <c r="O116" i="12"/>
  <c r="M116" i="12"/>
  <c r="E116" i="12"/>
  <c r="W115" i="12"/>
  <c r="X115" i="12" s="1"/>
  <c r="S115" i="12"/>
  <c r="O115" i="12"/>
  <c r="P115" i="12" s="1"/>
  <c r="F115" i="12" s="1"/>
  <c r="M115" i="12"/>
  <c r="E115" i="12"/>
  <c r="W114" i="12"/>
  <c r="U114" i="12"/>
  <c r="S114" i="12"/>
  <c r="O114" i="12"/>
  <c r="P114" i="12" s="1"/>
  <c r="F114" i="12" s="1"/>
  <c r="V114" i="12" s="1"/>
  <c r="M114" i="12"/>
  <c r="E114" i="12"/>
  <c r="W113" i="12"/>
  <c r="V113" i="12"/>
  <c r="S113" i="12"/>
  <c r="O113" i="12"/>
  <c r="P113" i="12" s="1"/>
  <c r="M113" i="12"/>
  <c r="F113" i="12"/>
  <c r="E113" i="12"/>
  <c r="X112" i="12"/>
  <c r="W112" i="12"/>
  <c r="S112" i="12"/>
  <c r="P112" i="12"/>
  <c r="O112" i="12"/>
  <c r="M112" i="12"/>
  <c r="F112" i="12"/>
  <c r="V112" i="12" s="1"/>
  <c r="E112" i="12"/>
  <c r="Q112" i="12" s="1"/>
  <c r="R112" i="12" s="1"/>
  <c r="W111" i="12"/>
  <c r="X111" i="12" s="1"/>
  <c r="V111" i="12"/>
  <c r="S111" i="12"/>
  <c r="O111" i="12"/>
  <c r="P111" i="12" s="1"/>
  <c r="F111" i="12" s="1"/>
  <c r="Q111" i="12" s="1"/>
  <c r="R111" i="12" s="1"/>
  <c r="M111" i="12"/>
  <c r="E111" i="12"/>
  <c r="U111" i="12" s="1"/>
  <c r="W110" i="12"/>
  <c r="S110" i="12"/>
  <c r="O110" i="12"/>
  <c r="P110" i="12" s="1"/>
  <c r="F110" i="12" s="1"/>
  <c r="V110" i="12" s="1"/>
  <c r="M110" i="12"/>
  <c r="E110" i="12"/>
  <c r="U110" i="12" s="1"/>
  <c r="W109" i="12"/>
  <c r="V109" i="12"/>
  <c r="S109" i="12"/>
  <c r="O109" i="12"/>
  <c r="P109" i="12" s="1"/>
  <c r="F109" i="12" s="1"/>
  <c r="M109" i="12"/>
  <c r="E109" i="12"/>
  <c r="W108" i="12"/>
  <c r="S108" i="12"/>
  <c r="O108" i="12"/>
  <c r="P108" i="12" s="1"/>
  <c r="M108" i="12"/>
  <c r="E108" i="12"/>
  <c r="X107" i="12"/>
  <c r="W107" i="12"/>
  <c r="S107" i="12"/>
  <c r="P107" i="12"/>
  <c r="O107" i="12"/>
  <c r="M107" i="12"/>
  <c r="F107" i="12"/>
  <c r="E107" i="12"/>
  <c r="W106" i="12"/>
  <c r="X106" i="12" s="1"/>
  <c r="S106" i="12"/>
  <c r="O106" i="12"/>
  <c r="P106" i="12" s="1"/>
  <c r="F106" i="12" s="1"/>
  <c r="M106" i="12"/>
  <c r="E106" i="12"/>
  <c r="U106" i="12" s="1"/>
  <c r="W105" i="12"/>
  <c r="S105" i="12"/>
  <c r="O105" i="12"/>
  <c r="P105" i="12" s="1"/>
  <c r="F105" i="12" s="1"/>
  <c r="M105" i="12"/>
  <c r="E105" i="12"/>
  <c r="U105" i="12" s="1"/>
  <c r="W104" i="12"/>
  <c r="X104" i="12" s="1"/>
  <c r="U104" i="12"/>
  <c r="S104" i="12"/>
  <c r="P104" i="12"/>
  <c r="F104" i="12" s="1"/>
  <c r="V104" i="12" s="1"/>
  <c r="O104" i="12"/>
  <c r="M104" i="12"/>
  <c r="E104" i="12"/>
  <c r="W103" i="12"/>
  <c r="U103" i="12"/>
  <c r="S103" i="12"/>
  <c r="P103" i="12"/>
  <c r="X103" i="12" s="1"/>
  <c r="O103" i="12"/>
  <c r="M103" i="12"/>
  <c r="E103" i="12"/>
  <c r="W102" i="12"/>
  <c r="S102" i="12"/>
  <c r="O102" i="12"/>
  <c r="P102" i="12" s="1"/>
  <c r="F102" i="12" s="1"/>
  <c r="V102" i="12" s="1"/>
  <c r="M102" i="12"/>
  <c r="E102" i="12"/>
  <c r="W101" i="12"/>
  <c r="X101" i="12" s="1"/>
  <c r="S101" i="12"/>
  <c r="Q101" i="12"/>
  <c r="R101" i="12" s="1"/>
  <c r="O101" i="12"/>
  <c r="P101" i="12" s="1"/>
  <c r="M101" i="12"/>
  <c r="F101" i="12"/>
  <c r="V101" i="12" s="1"/>
  <c r="E101" i="12"/>
  <c r="U101" i="12" s="1"/>
  <c r="W100" i="12"/>
  <c r="S100" i="12"/>
  <c r="O100" i="12"/>
  <c r="P100" i="12" s="1"/>
  <c r="F100" i="12" s="1"/>
  <c r="V100" i="12" s="1"/>
  <c r="M100" i="12"/>
  <c r="E100" i="12"/>
  <c r="X99" i="12"/>
  <c r="W99" i="12"/>
  <c r="S99" i="12"/>
  <c r="P99" i="12"/>
  <c r="F99" i="12" s="1"/>
  <c r="O99" i="12"/>
  <c r="M99" i="12"/>
  <c r="E99" i="12"/>
  <c r="W98" i="12"/>
  <c r="S98" i="12"/>
  <c r="O98" i="12"/>
  <c r="P98" i="12" s="1"/>
  <c r="F98" i="12" s="1"/>
  <c r="V98" i="12" s="1"/>
  <c r="M98" i="12"/>
  <c r="E98" i="12"/>
  <c r="W97" i="12"/>
  <c r="X97" i="12" s="1"/>
  <c r="S97" i="12"/>
  <c r="O97" i="12"/>
  <c r="P97" i="12" s="1"/>
  <c r="M97" i="12"/>
  <c r="F97" i="12"/>
  <c r="Q97" i="12" s="1"/>
  <c r="T97" i="12" s="1"/>
  <c r="E97" i="12"/>
  <c r="U97" i="12" s="1"/>
  <c r="W96" i="12"/>
  <c r="X96" i="12" s="1"/>
  <c r="U96" i="12"/>
  <c r="S96" i="12"/>
  <c r="P96" i="12"/>
  <c r="O96" i="12"/>
  <c r="M96" i="12"/>
  <c r="F96" i="12"/>
  <c r="V96" i="12" s="1"/>
  <c r="E96" i="12"/>
  <c r="X95" i="12"/>
  <c r="W95" i="12"/>
  <c r="S95" i="12"/>
  <c r="Q95" i="12"/>
  <c r="R95" i="12" s="1"/>
  <c r="P95" i="12"/>
  <c r="O95" i="12"/>
  <c r="M95" i="12"/>
  <c r="F95" i="12"/>
  <c r="V95" i="12" s="1"/>
  <c r="E95" i="12"/>
  <c r="W94" i="12"/>
  <c r="X94" i="12" s="1"/>
  <c r="S94" i="12"/>
  <c r="O94" i="12"/>
  <c r="P94" i="12" s="1"/>
  <c r="F94" i="12" s="1"/>
  <c r="M94" i="12"/>
  <c r="E94" i="12"/>
  <c r="W93" i="12"/>
  <c r="X93" i="12" s="1"/>
  <c r="S93" i="12"/>
  <c r="Q93" i="12"/>
  <c r="T93" i="12" s="1"/>
  <c r="O93" i="12"/>
  <c r="P93" i="12" s="1"/>
  <c r="M93" i="12"/>
  <c r="F93" i="12"/>
  <c r="V93" i="12" s="1"/>
  <c r="E93" i="12"/>
  <c r="U93" i="12" s="1"/>
  <c r="W92" i="12"/>
  <c r="S92" i="12"/>
  <c r="P92" i="12"/>
  <c r="F92" i="12" s="1"/>
  <c r="V92" i="12" s="1"/>
  <c r="O92" i="12"/>
  <c r="M92" i="12"/>
  <c r="E92" i="12"/>
  <c r="Q92" i="12" s="1"/>
  <c r="R92" i="12" s="1"/>
  <c r="W91" i="12"/>
  <c r="U91" i="12"/>
  <c r="S91" i="12"/>
  <c r="P91" i="12"/>
  <c r="X91" i="12" s="1"/>
  <c r="O91" i="12"/>
  <c r="M91" i="12"/>
  <c r="E91" i="12"/>
  <c r="W90" i="12"/>
  <c r="X90" i="12" s="1"/>
  <c r="V90" i="12"/>
  <c r="S90" i="12"/>
  <c r="T90" i="12" s="1"/>
  <c r="Q90" i="12"/>
  <c r="R90" i="12" s="1"/>
  <c r="P90" i="12"/>
  <c r="F90" i="12" s="1"/>
  <c r="O90" i="12"/>
  <c r="M90" i="12"/>
  <c r="E90" i="12"/>
  <c r="U90" i="12" s="1"/>
  <c r="W89" i="12"/>
  <c r="S89" i="12"/>
  <c r="O89" i="12"/>
  <c r="P89" i="12" s="1"/>
  <c r="F89" i="12" s="1"/>
  <c r="V89" i="12" s="1"/>
  <c r="M89" i="12"/>
  <c r="E89" i="12"/>
  <c r="U89" i="12" s="1"/>
  <c r="X88" i="12"/>
  <c r="W88" i="12"/>
  <c r="S88" i="12"/>
  <c r="O88" i="12"/>
  <c r="P88" i="12" s="1"/>
  <c r="F88" i="12" s="1"/>
  <c r="M88" i="12"/>
  <c r="E88" i="12"/>
  <c r="X87" i="12"/>
  <c r="W87" i="12"/>
  <c r="S87" i="12"/>
  <c r="P87" i="12"/>
  <c r="F87" i="12" s="1"/>
  <c r="O87" i="12"/>
  <c r="M87" i="12"/>
  <c r="E87" i="12"/>
  <c r="W86" i="12"/>
  <c r="S86" i="12"/>
  <c r="O86" i="12"/>
  <c r="P86" i="12" s="1"/>
  <c r="F86" i="12" s="1"/>
  <c r="V86" i="12" s="1"/>
  <c r="M86" i="12"/>
  <c r="E86" i="12"/>
  <c r="U86" i="12" s="1"/>
  <c r="W85" i="12"/>
  <c r="X85" i="12" s="1"/>
  <c r="S85" i="12"/>
  <c r="O85" i="12"/>
  <c r="P85" i="12" s="1"/>
  <c r="F85" i="12" s="1"/>
  <c r="V85" i="12" s="1"/>
  <c r="M85" i="12"/>
  <c r="E85" i="12"/>
  <c r="U85" i="12" s="1"/>
  <c r="X84" i="12"/>
  <c r="W84" i="12"/>
  <c r="S84" i="12"/>
  <c r="O84" i="12"/>
  <c r="P84" i="12" s="1"/>
  <c r="F84" i="12" s="1"/>
  <c r="V84" i="12" s="1"/>
  <c r="M84" i="12"/>
  <c r="E84" i="12"/>
  <c r="X83" i="12"/>
  <c r="W83" i="12"/>
  <c r="S83" i="12"/>
  <c r="P83" i="12"/>
  <c r="F83" i="12" s="1"/>
  <c r="O83" i="12"/>
  <c r="M83" i="12"/>
  <c r="E83" i="12"/>
  <c r="W82" i="12"/>
  <c r="S82" i="12"/>
  <c r="O82" i="12"/>
  <c r="P82" i="12" s="1"/>
  <c r="M82" i="12"/>
  <c r="E82" i="12"/>
  <c r="W81" i="12"/>
  <c r="X81" i="12" s="1"/>
  <c r="V81" i="12"/>
  <c r="S81" i="12"/>
  <c r="O81" i="12"/>
  <c r="P81" i="12" s="1"/>
  <c r="M81" i="12"/>
  <c r="F81" i="12"/>
  <c r="E81" i="12"/>
  <c r="U81" i="12" s="1"/>
  <c r="X80" i="12"/>
  <c r="W80" i="12"/>
  <c r="S80" i="12"/>
  <c r="P80" i="12"/>
  <c r="O80" i="12"/>
  <c r="M80" i="12"/>
  <c r="F80" i="12"/>
  <c r="V80" i="12" s="1"/>
  <c r="E80" i="12"/>
  <c r="U80" i="12" s="1"/>
  <c r="W79" i="12"/>
  <c r="S79" i="12"/>
  <c r="O79" i="12"/>
  <c r="P79" i="12" s="1"/>
  <c r="X79" i="12" s="1"/>
  <c r="M79" i="12"/>
  <c r="E79" i="12"/>
  <c r="W78" i="12"/>
  <c r="S78" i="12"/>
  <c r="P78" i="12"/>
  <c r="F78" i="12" s="1"/>
  <c r="V78" i="12" s="1"/>
  <c r="O78" i="12"/>
  <c r="M78" i="12"/>
  <c r="E78" i="12"/>
  <c r="W77" i="12"/>
  <c r="X77" i="12" s="1"/>
  <c r="S77" i="12"/>
  <c r="P77" i="12"/>
  <c r="O77" i="12"/>
  <c r="M77" i="12"/>
  <c r="F77" i="12"/>
  <c r="E77" i="12"/>
  <c r="U77" i="12" s="1"/>
  <c r="W76" i="12"/>
  <c r="U76" i="12"/>
  <c r="S76" i="12"/>
  <c r="O76" i="12"/>
  <c r="P76" i="12" s="1"/>
  <c r="F76" i="12" s="1"/>
  <c r="M76" i="12"/>
  <c r="E76" i="12"/>
  <c r="W75" i="12"/>
  <c r="S75" i="12"/>
  <c r="O75" i="12"/>
  <c r="P75" i="12" s="1"/>
  <c r="M75" i="12"/>
  <c r="E75" i="12"/>
  <c r="W74" i="12"/>
  <c r="X74" i="12" s="1"/>
  <c r="U74" i="12"/>
  <c r="S74" i="12"/>
  <c r="O74" i="12"/>
  <c r="P74" i="12" s="1"/>
  <c r="M74" i="12"/>
  <c r="F74" i="12"/>
  <c r="V74" i="12" s="1"/>
  <c r="E74" i="12"/>
  <c r="W73" i="12"/>
  <c r="U73" i="12"/>
  <c r="S73" i="12"/>
  <c r="O73" i="12"/>
  <c r="P73" i="12" s="1"/>
  <c r="M73" i="12"/>
  <c r="E73" i="12"/>
  <c r="W72" i="12"/>
  <c r="S72" i="12"/>
  <c r="O72" i="12"/>
  <c r="P72" i="12" s="1"/>
  <c r="F72" i="12" s="1"/>
  <c r="M72" i="12"/>
  <c r="E72" i="12"/>
  <c r="W71" i="12"/>
  <c r="S71" i="12"/>
  <c r="O71" i="12"/>
  <c r="P71" i="12" s="1"/>
  <c r="M71" i="12"/>
  <c r="E71" i="12"/>
  <c r="U71" i="12" s="1"/>
  <c r="W70" i="12"/>
  <c r="U70" i="12"/>
  <c r="S70" i="12"/>
  <c r="O70" i="12"/>
  <c r="P70" i="12" s="1"/>
  <c r="F70" i="12" s="1"/>
  <c r="M70" i="12"/>
  <c r="E70" i="12"/>
  <c r="X69" i="12"/>
  <c r="W69" i="12"/>
  <c r="S69" i="12"/>
  <c r="P69" i="12"/>
  <c r="O69" i="12"/>
  <c r="M69" i="12"/>
  <c r="F69" i="12"/>
  <c r="V69" i="12" s="1"/>
  <c r="E69" i="12"/>
  <c r="U69" i="12" s="1"/>
  <c r="W68" i="12"/>
  <c r="U68" i="12"/>
  <c r="S68" i="12"/>
  <c r="O68" i="12"/>
  <c r="P68" i="12" s="1"/>
  <c r="F68" i="12" s="1"/>
  <c r="M68" i="12"/>
  <c r="E68" i="12"/>
  <c r="W67" i="12"/>
  <c r="S67" i="12"/>
  <c r="O67" i="12"/>
  <c r="P67" i="12" s="1"/>
  <c r="M67" i="12"/>
  <c r="E67" i="12"/>
  <c r="U67" i="12" s="1"/>
  <c r="W66" i="12"/>
  <c r="X66" i="12" s="1"/>
  <c r="U66" i="12"/>
  <c r="S66" i="12"/>
  <c r="O66" i="12"/>
  <c r="P66" i="12" s="1"/>
  <c r="M66" i="12"/>
  <c r="F66" i="12"/>
  <c r="Q66" i="12" s="1"/>
  <c r="R66" i="12" s="1"/>
  <c r="E66" i="12"/>
  <c r="W65" i="12"/>
  <c r="U65" i="12"/>
  <c r="S65" i="12"/>
  <c r="O65" i="12"/>
  <c r="P65" i="12" s="1"/>
  <c r="M65" i="12"/>
  <c r="E65" i="12"/>
  <c r="W64" i="12"/>
  <c r="X64" i="12" s="1"/>
  <c r="S64" i="12"/>
  <c r="O64" i="12"/>
  <c r="P64" i="12" s="1"/>
  <c r="M64" i="12"/>
  <c r="F64" i="12"/>
  <c r="Q64" i="12" s="1"/>
  <c r="R64" i="12" s="1"/>
  <c r="E64" i="12"/>
  <c r="W63" i="12"/>
  <c r="S63" i="12"/>
  <c r="O63" i="12"/>
  <c r="P63" i="12" s="1"/>
  <c r="M63" i="12"/>
  <c r="E63" i="12"/>
  <c r="U63" i="12" s="1"/>
  <c r="W62" i="12"/>
  <c r="U62" i="12"/>
  <c r="S62" i="12"/>
  <c r="O62" i="12"/>
  <c r="P62" i="12" s="1"/>
  <c r="F62" i="12" s="1"/>
  <c r="M62" i="12"/>
  <c r="E62" i="12"/>
  <c r="X61" i="12"/>
  <c r="W61" i="12"/>
  <c r="S61" i="12"/>
  <c r="P61" i="12"/>
  <c r="O61" i="12"/>
  <c r="M61" i="12"/>
  <c r="F61" i="12"/>
  <c r="E61" i="12"/>
  <c r="W60" i="12"/>
  <c r="V60" i="12"/>
  <c r="U60" i="12"/>
  <c r="S60" i="12"/>
  <c r="O60" i="12"/>
  <c r="P60" i="12" s="1"/>
  <c r="F60" i="12" s="1"/>
  <c r="Q60" i="12" s="1"/>
  <c r="R60" i="12" s="1"/>
  <c r="M60" i="12"/>
  <c r="E60" i="12"/>
  <c r="W59" i="12"/>
  <c r="S59" i="12"/>
  <c r="P59" i="12"/>
  <c r="O59" i="12"/>
  <c r="M59" i="12"/>
  <c r="E59" i="12"/>
  <c r="U59" i="12" s="1"/>
  <c r="W58" i="12"/>
  <c r="U58" i="12"/>
  <c r="S58" i="12"/>
  <c r="O58" i="12"/>
  <c r="P58" i="12" s="1"/>
  <c r="F58" i="12" s="1"/>
  <c r="M58" i="12"/>
  <c r="E58" i="12"/>
  <c r="W57" i="12"/>
  <c r="S57" i="12"/>
  <c r="O57" i="12"/>
  <c r="P57" i="12" s="1"/>
  <c r="M57" i="12"/>
  <c r="E57" i="12"/>
  <c r="U57" i="12" s="1"/>
  <c r="W56" i="12"/>
  <c r="X56" i="12" s="1"/>
  <c r="S56" i="12"/>
  <c r="O56" i="12"/>
  <c r="P56" i="12" s="1"/>
  <c r="M56" i="12"/>
  <c r="F56" i="12"/>
  <c r="E56" i="12"/>
  <c r="X55" i="12"/>
  <c r="W55" i="12"/>
  <c r="S55" i="12"/>
  <c r="P55" i="12"/>
  <c r="F55" i="12" s="1"/>
  <c r="O55" i="12"/>
  <c r="M55" i="12"/>
  <c r="E55" i="12"/>
  <c r="U55" i="12" s="1"/>
  <c r="W54" i="12"/>
  <c r="X54" i="12" s="1"/>
  <c r="U54" i="12"/>
  <c r="S54" i="12"/>
  <c r="O54" i="12"/>
  <c r="P54" i="12" s="1"/>
  <c r="M54" i="12"/>
  <c r="F54" i="12"/>
  <c r="V54" i="12" s="1"/>
  <c r="E54" i="12"/>
  <c r="W53" i="12"/>
  <c r="X53" i="12" s="1"/>
  <c r="S53" i="12"/>
  <c r="P53" i="12"/>
  <c r="O53" i="12"/>
  <c r="M53" i="12"/>
  <c r="F53" i="12"/>
  <c r="E53" i="12"/>
  <c r="U53" i="12" s="1"/>
  <c r="W52" i="12"/>
  <c r="S52" i="12"/>
  <c r="Q52" i="12"/>
  <c r="R52" i="12" s="1"/>
  <c r="O52" i="12"/>
  <c r="P52" i="12" s="1"/>
  <c r="F52" i="12" s="1"/>
  <c r="V52" i="12" s="1"/>
  <c r="M52" i="12"/>
  <c r="E52" i="12"/>
  <c r="W51" i="12"/>
  <c r="S51" i="12"/>
  <c r="P51" i="12"/>
  <c r="X51" i="12" s="1"/>
  <c r="O51" i="12"/>
  <c r="M51" i="12"/>
  <c r="E51" i="12"/>
  <c r="P4" i="11" s="1"/>
  <c r="T4" i="11" s="1"/>
  <c r="W50" i="12"/>
  <c r="U50" i="12"/>
  <c r="S50" i="12"/>
  <c r="O50" i="12"/>
  <c r="P50" i="12" s="1"/>
  <c r="F50" i="12" s="1"/>
  <c r="M50" i="12"/>
  <c r="E50" i="12"/>
  <c r="W49" i="12"/>
  <c r="U49" i="12"/>
  <c r="S49" i="12"/>
  <c r="P49" i="12"/>
  <c r="X49" i="12" s="1"/>
  <c r="O49" i="12"/>
  <c r="M49" i="12"/>
  <c r="E49" i="12"/>
  <c r="W48" i="12"/>
  <c r="X48" i="12" s="1"/>
  <c r="S48" i="12"/>
  <c r="O48" i="12"/>
  <c r="P48" i="12" s="1"/>
  <c r="F48" i="12" s="1"/>
  <c r="V48" i="12" s="1"/>
  <c r="M48" i="12"/>
  <c r="E48" i="12"/>
  <c r="U48" i="12" s="1"/>
  <c r="W47" i="12"/>
  <c r="S47" i="12"/>
  <c r="P47" i="12"/>
  <c r="X47" i="12" s="1"/>
  <c r="O47" i="12"/>
  <c r="M47" i="12"/>
  <c r="E47" i="12"/>
  <c r="U47" i="12" s="1"/>
  <c r="W46" i="12"/>
  <c r="S46" i="12"/>
  <c r="P46" i="12"/>
  <c r="X46" i="12" s="1"/>
  <c r="O46" i="12"/>
  <c r="M46" i="12"/>
  <c r="E46" i="12"/>
  <c r="W45" i="12"/>
  <c r="V45" i="12"/>
  <c r="S45" i="12"/>
  <c r="P45" i="12"/>
  <c r="X45" i="12" s="1"/>
  <c r="O45" i="12"/>
  <c r="M45" i="12"/>
  <c r="F45" i="12"/>
  <c r="E45" i="12"/>
  <c r="U45" i="12" s="1"/>
  <c r="W44" i="12"/>
  <c r="S44" i="12"/>
  <c r="P44" i="12"/>
  <c r="F44" i="12" s="1"/>
  <c r="V44" i="12" s="1"/>
  <c r="O44" i="12"/>
  <c r="M44" i="12"/>
  <c r="E44" i="12"/>
  <c r="U44" i="12" s="1"/>
  <c r="W43" i="12"/>
  <c r="S43" i="12"/>
  <c r="P43" i="12"/>
  <c r="X43" i="12" s="1"/>
  <c r="O43" i="12"/>
  <c r="M43" i="12"/>
  <c r="E43" i="12"/>
  <c r="U43" i="12" s="1"/>
  <c r="W42" i="12"/>
  <c r="S42" i="12"/>
  <c r="P42" i="12"/>
  <c r="X42" i="12" s="1"/>
  <c r="O42" i="12"/>
  <c r="M42" i="12"/>
  <c r="E42" i="12"/>
  <c r="W41" i="12"/>
  <c r="V41" i="12"/>
  <c r="S41" i="12"/>
  <c r="P41" i="12"/>
  <c r="X41" i="12" s="1"/>
  <c r="O41" i="12"/>
  <c r="M41" i="12"/>
  <c r="F41" i="12"/>
  <c r="E41" i="12"/>
  <c r="U41" i="12" s="1"/>
  <c r="X40" i="12"/>
  <c r="W40" i="12"/>
  <c r="S40" i="12"/>
  <c r="P40" i="12"/>
  <c r="F40" i="12" s="1"/>
  <c r="V40" i="12" s="1"/>
  <c r="O40" i="12"/>
  <c r="M40" i="12"/>
  <c r="E40" i="12"/>
  <c r="U40" i="12" s="1"/>
  <c r="W39" i="12"/>
  <c r="S39" i="12"/>
  <c r="P39" i="12"/>
  <c r="X39" i="12" s="1"/>
  <c r="O39" i="12"/>
  <c r="M39" i="12"/>
  <c r="E39" i="12"/>
  <c r="U39" i="12" s="1"/>
  <c r="W38" i="12"/>
  <c r="S38" i="12"/>
  <c r="P38" i="12"/>
  <c r="X38" i="12" s="1"/>
  <c r="O38" i="12"/>
  <c r="M38" i="12"/>
  <c r="E38" i="12"/>
  <c r="W37" i="12"/>
  <c r="V37" i="12"/>
  <c r="S37" i="12"/>
  <c r="P37" i="12"/>
  <c r="X37" i="12" s="1"/>
  <c r="O37" i="12"/>
  <c r="M37" i="12"/>
  <c r="F37" i="12"/>
  <c r="E37" i="12"/>
  <c r="U37" i="12" s="1"/>
  <c r="X36" i="12"/>
  <c r="W36" i="12"/>
  <c r="S36" i="12"/>
  <c r="P36" i="12"/>
  <c r="F36" i="12" s="1"/>
  <c r="V36" i="12" s="1"/>
  <c r="O36" i="12"/>
  <c r="M36" i="12"/>
  <c r="E36" i="12"/>
  <c r="U36" i="12" s="1"/>
  <c r="W35" i="12"/>
  <c r="S35" i="12"/>
  <c r="P35" i="12"/>
  <c r="X35" i="12" s="1"/>
  <c r="O35" i="12"/>
  <c r="M35" i="12"/>
  <c r="E35" i="12"/>
  <c r="U35" i="12" s="1"/>
  <c r="W34" i="12"/>
  <c r="S34" i="12"/>
  <c r="P34" i="12"/>
  <c r="X34" i="12" s="1"/>
  <c r="O34" i="12"/>
  <c r="M34" i="12"/>
  <c r="E34" i="12"/>
  <c r="W33" i="12"/>
  <c r="V33" i="12"/>
  <c r="U33" i="12"/>
  <c r="S33" i="12"/>
  <c r="R33" i="12"/>
  <c r="P33" i="12"/>
  <c r="X33" i="12" s="1"/>
  <c r="O33" i="12"/>
  <c r="M33" i="12"/>
  <c r="F33" i="12"/>
  <c r="E33" i="12"/>
  <c r="Q33" i="12" s="1"/>
  <c r="T33" i="12" s="1"/>
  <c r="W32" i="12"/>
  <c r="S32" i="12"/>
  <c r="P32" i="12"/>
  <c r="F32" i="12" s="1"/>
  <c r="V32" i="12" s="1"/>
  <c r="O32" i="12"/>
  <c r="M32" i="12"/>
  <c r="E32" i="12"/>
  <c r="U32" i="12" s="1"/>
  <c r="W31" i="12"/>
  <c r="S31" i="12"/>
  <c r="P31" i="12"/>
  <c r="X31" i="12" s="1"/>
  <c r="O31" i="12"/>
  <c r="M31" i="12"/>
  <c r="E31" i="12"/>
  <c r="U31" i="12" s="1"/>
  <c r="W30" i="12"/>
  <c r="S30" i="12"/>
  <c r="P30" i="12"/>
  <c r="O30" i="12"/>
  <c r="M30" i="12"/>
  <c r="E30" i="12"/>
  <c r="W29" i="12"/>
  <c r="V29" i="12"/>
  <c r="U29" i="12"/>
  <c r="S29" i="12"/>
  <c r="P29" i="12"/>
  <c r="X29" i="12" s="1"/>
  <c r="O29" i="12"/>
  <c r="M29" i="12"/>
  <c r="F29" i="12"/>
  <c r="E29" i="12"/>
  <c r="Q29" i="12" s="1"/>
  <c r="T29" i="12" s="1"/>
  <c r="W28" i="12"/>
  <c r="S28" i="12"/>
  <c r="P28" i="12"/>
  <c r="F28" i="12" s="1"/>
  <c r="V28" i="12" s="1"/>
  <c r="O28" i="12"/>
  <c r="M28" i="12"/>
  <c r="E28" i="12"/>
  <c r="W27" i="12"/>
  <c r="S27" i="12"/>
  <c r="P27" i="12"/>
  <c r="X27" i="12" s="1"/>
  <c r="O27" i="12"/>
  <c r="M27" i="12"/>
  <c r="E27" i="12"/>
  <c r="U27" i="12" s="1"/>
  <c r="W26" i="12"/>
  <c r="S26" i="12"/>
  <c r="P26" i="12"/>
  <c r="F26" i="12" s="1"/>
  <c r="V26" i="12" s="1"/>
  <c r="O26" i="12"/>
  <c r="M26" i="12"/>
  <c r="E26" i="12"/>
  <c r="W25" i="12"/>
  <c r="V25" i="12"/>
  <c r="U25" i="12"/>
  <c r="S25" i="12"/>
  <c r="R25" i="12"/>
  <c r="P25" i="12"/>
  <c r="X25" i="12" s="1"/>
  <c r="O25" i="12"/>
  <c r="M25" i="12"/>
  <c r="F25" i="12"/>
  <c r="E25" i="12"/>
  <c r="Q25" i="12" s="1"/>
  <c r="T25" i="12" s="1"/>
  <c r="W24" i="12"/>
  <c r="S24" i="12"/>
  <c r="P24" i="12"/>
  <c r="F24" i="12" s="1"/>
  <c r="V24" i="12" s="1"/>
  <c r="O24" i="12"/>
  <c r="M24" i="12"/>
  <c r="E24" i="12"/>
  <c r="W23" i="12"/>
  <c r="S23" i="12"/>
  <c r="P23" i="12"/>
  <c r="X23" i="12" s="1"/>
  <c r="O23" i="12"/>
  <c r="M23" i="12"/>
  <c r="E23" i="12"/>
  <c r="U23" i="12" s="1"/>
  <c r="W22" i="12"/>
  <c r="S22" i="12"/>
  <c r="P22" i="12"/>
  <c r="F22" i="12" s="1"/>
  <c r="V22" i="12" s="1"/>
  <c r="O22" i="12"/>
  <c r="M22" i="12"/>
  <c r="E22" i="12"/>
  <c r="W21" i="12"/>
  <c r="V21" i="12"/>
  <c r="U21" i="12"/>
  <c r="S21" i="12"/>
  <c r="P21" i="12"/>
  <c r="X21" i="12" s="1"/>
  <c r="O21" i="12"/>
  <c r="M21" i="12"/>
  <c r="F21" i="12"/>
  <c r="E21" i="12"/>
  <c r="Q21" i="12" s="1"/>
  <c r="T21" i="12" s="1"/>
  <c r="X20" i="12"/>
  <c r="W20" i="12"/>
  <c r="S20" i="12"/>
  <c r="P20" i="12"/>
  <c r="F20" i="12" s="1"/>
  <c r="V20" i="12" s="1"/>
  <c r="O20" i="12"/>
  <c r="M20" i="12"/>
  <c r="E20" i="12"/>
  <c r="W19" i="12"/>
  <c r="U19" i="12"/>
  <c r="S19" i="12"/>
  <c r="P19" i="12"/>
  <c r="X19" i="12" s="1"/>
  <c r="O19" i="12"/>
  <c r="M19" i="12"/>
  <c r="E19" i="12"/>
  <c r="W18" i="12"/>
  <c r="S18" i="12"/>
  <c r="O18" i="12"/>
  <c r="P18" i="12" s="1"/>
  <c r="F18" i="12" s="1"/>
  <c r="V18" i="12" s="1"/>
  <c r="M18" i="12"/>
  <c r="E18" i="12"/>
  <c r="W17" i="12"/>
  <c r="V17" i="12"/>
  <c r="U17" i="12"/>
  <c r="S17" i="12"/>
  <c r="R17" i="12"/>
  <c r="P17" i="12"/>
  <c r="X17" i="12" s="1"/>
  <c r="O17" i="12"/>
  <c r="M17" i="12"/>
  <c r="F17" i="12"/>
  <c r="E17" i="12"/>
  <c r="Q17" i="12" s="1"/>
  <c r="T17" i="12" s="1"/>
  <c r="X16" i="12"/>
  <c r="W16" i="12"/>
  <c r="S16" i="12"/>
  <c r="P16" i="12"/>
  <c r="F16" i="12" s="1"/>
  <c r="O16" i="12"/>
  <c r="M16" i="12"/>
  <c r="E16" i="12"/>
  <c r="W15" i="12"/>
  <c r="U15" i="12"/>
  <c r="S15" i="12"/>
  <c r="P15" i="12"/>
  <c r="X15" i="12" s="1"/>
  <c r="O15" i="12"/>
  <c r="M15" i="12"/>
  <c r="E15" i="12"/>
  <c r="X14" i="12"/>
  <c r="W14" i="12"/>
  <c r="S14" i="12"/>
  <c r="P14" i="12"/>
  <c r="F14" i="12" s="1"/>
  <c r="V14" i="12" s="1"/>
  <c r="O14" i="12"/>
  <c r="M14" i="12"/>
  <c r="E14" i="12"/>
  <c r="W13" i="12"/>
  <c r="U13" i="12"/>
  <c r="S13" i="12"/>
  <c r="P13" i="12"/>
  <c r="X13" i="12" s="1"/>
  <c r="O13" i="12"/>
  <c r="M13" i="12"/>
  <c r="F13" i="12"/>
  <c r="V13" i="12" s="1"/>
  <c r="E13" i="12"/>
  <c r="X12" i="12"/>
  <c r="W12" i="12"/>
  <c r="S12" i="12"/>
  <c r="P12" i="12"/>
  <c r="F12" i="12" s="1"/>
  <c r="O12" i="12"/>
  <c r="M12" i="12"/>
  <c r="E12" i="12"/>
  <c r="W11" i="12"/>
  <c r="U11" i="12"/>
  <c r="S11" i="12"/>
  <c r="P11" i="12"/>
  <c r="X11" i="12" s="1"/>
  <c r="O11" i="12"/>
  <c r="M11" i="12"/>
  <c r="E11" i="12"/>
  <c r="W10" i="12"/>
  <c r="S10" i="12"/>
  <c r="O10" i="12"/>
  <c r="P10" i="12" s="1"/>
  <c r="M10" i="12"/>
  <c r="E10" i="12"/>
  <c r="W9" i="12"/>
  <c r="X9" i="12" s="1"/>
  <c r="U9" i="12"/>
  <c r="S9" i="12"/>
  <c r="O9" i="12"/>
  <c r="P9" i="12" s="1"/>
  <c r="M9" i="12"/>
  <c r="F9" i="12"/>
  <c r="V9" i="12" s="1"/>
  <c r="E9" i="12"/>
  <c r="W8" i="12"/>
  <c r="S8" i="12"/>
  <c r="P8" i="12"/>
  <c r="F8" i="12" s="1"/>
  <c r="V8" i="12" s="1"/>
  <c r="O8" i="12"/>
  <c r="M8" i="12"/>
  <c r="E8" i="12"/>
  <c r="B8" i="12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X7" i="12"/>
  <c r="W7" i="12"/>
  <c r="U7" i="12"/>
  <c r="S7" i="12"/>
  <c r="P7" i="12"/>
  <c r="F7" i="12" s="1"/>
  <c r="Q7" i="12" s="1"/>
  <c r="R7" i="12" s="1"/>
  <c r="O7" i="12"/>
  <c r="M7" i="12"/>
  <c r="E7" i="12"/>
  <c r="W6" i="12"/>
  <c r="X6" i="12" s="1"/>
  <c r="S6" i="12"/>
  <c r="P6" i="12"/>
  <c r="F6" i="12" s="1"/>
  <c r="V6" i="12" s="1"/>
  <c r="O6" i="12"/>
  <c r="M6" i="12"/>
  <c r="E6" i="12"/>
  <c r="W5" i="12"/>
  <c r="X5" i="12" s="1"/>
  <c r="S5" i="12"/>
  <c r="O5" i="12"/>
  <c r="P5" i="12" s="1"/>
  <c r="M5" i="12"/>
  <c r="F5" i="12"/>
  <c r="V5" i="12" s="1"/>
  <c r="E5" i="12"/>
  <c r="U5" i="12" s="1"/>
  <c r="B5" i="12"/>
  <c r="B6" i="12" s="1"/>
  <c r="B7" i="12" s="1"/>
  <c r="X4" i="12"/>
  <c r="W4" i="12"/>
  <c r="S4" i="12"/>
  <c r="U4" i="12" s="1"/>
  <c r="P4" i="12"/>
  <c r="F4" i="12" s="1"/>
  <c r="O4" i="12"/>
  <c r="M4" i="12"/>
  <c r="E4" i="12"/>
  <c r="V10" i="11"/>
  <c r="B23" i="14" s="1"/>
  <c r="T10" i="11"/>
  <c r="S10" i="11"/>
  <c r="P10" i="11"/>
  <c r="O10" i="11"/>
  <c r="N10" i="11"/>
  <c r="R10" i="11" s="1"/>
  <c r="M10" i="11"/>
  <c r="Q10" i="11" s="1"/>
  <c r="H10" i="11"/>
  <c r="G10" i="11"/>
  <c r="F10" i="11"/>
  <c r="E10" i="11"/>
  <c r="D10" i="11"/>
  <c r="C10" i="11"/>
  <c r="T9" i="11"/>
  <c r="S9" i="11"/>
  <c r="P9" i="11"/>
  <c r="O9" i="11"/>
  <c r="N9" i="11"/>
  <c r="R9" i="11" s="1"/>
  <c r="M9" i="11"/>
  <c r="V9" i="11" s="1"/>
  <c r="B22" i="14" s="1"/>
  <c r="H9" i="11"/>
  <c r="G9" i="11"/>
  <c r="F9" i="11"/>
  <c r="E9" i="11"/>
  <c r="D9" i="11"/>
  <c r="C9" i="11"/>
  <c r="S8" i="11"/>
  <c r="R8" i="11"/>
  <c r="P8" i="11"/>
  <c r="T8" i="11" s="1"/>
  <c r="O8" i="11"/>
  <c r="N8" i="11"/>
  <c r="M8" i="11"/>
  <c r="H8" i="11"/>
  <c r="G8" i="11"/>
  <c r="F8" i="11"/>
  <c r="E8" i="11"/>
  <c r="D8" i="11"/>
  <c r="C8" i="11"/>
  <c r="R7" i="11"/>
  <c r="Q7" i="11"/>
  <c r="P7" i="11"/>
  <c r="T7" i="11" s="1"/>
  <c r="O7" i="11"/>
  <c r="S7" i="11" s="1"/>
  <c r="N7" i="11"/>
  <c r="M7" i="11"/>
  <c r="V7" i="11" s="1"/>
  <c r="B20" i="14" s="1"/>
  <c r="H7" i="11"/>
  <c r="G7" i="11"/>
  <c r="F7" i="11"/>
  <c r="E7" i="11"/>
  <c r="D7" i="11"/>
  <c r="C7" i="11"/>
  <c r="Q6" i="11"/>
  <c r="P6" i="11"/>
  <c r="T6" i="11" s="1"/>
  <c r="O6" i="11"/>
  <c r="S6" i="11" s="1"/>
  <c r="N6" i="11"/>
  <c r="R6" i="11" s="1"/>
  <c r="M6" i="11"/>
  <c r="H6" i="11"/>
  <c r="G6" i="11"/>
  <c r="F6" i="11"/>
  <c r="E6" i="11"/>
  <c r="D6" i="11"/>
  <c r="C6" i="11"/>
  <c r="P5" i="11"/>
  <c r="T5" i="11" s="1"/>
  <c r="O5" i="11"/>
  <c r="S5" i="11" s="1"/>
  <c r="N5" i="11"/>
  <c r="R5" i="11" s="1"/>
  <c r="M5" i="11"/>
  <c r="V5" i="11" s="1"/>
  <c r="B18" i="14" s="1"/>
  <c r="H5" i="11"/>
  <c r="G5" i="11"/>
  <c r="F5" i="11"/>
  <c r="E5" i="11"/>
  <c r="D5" i="11"/>
  <c r="C5" i="11"/>
  <c r="M4" i="11"/>
  <c r="Q4" i="11" s="1"/>
  <c r="H4" i="11"/>
  <c r="G4" i="11"/>
  <c r="F4" i="11"/>
  <c r="E4" i="11"/>
  <c r="D4" i="11"/>
  <c r="C4" i="11"/>
  <c r="O3" i="11"/>
  <c r="S3" i="11" s="1"/>
  <c r="N3" i="11"/>
  <c r="R3" i="11" s="1"/>
  <c r="H3" i="11"/>
  <c r="G3" i="11"/>
  <c r="F3" i="11"/>
  <c r="E3" i="11"/>
  <c r="D3" i="11"/>
  <c r="C3" i="11"/>
  <c r="Q29" i="1"/>
  <c r="P29" i="1"/>
  <c r="O29" i="1"/>
  <c r="M29" i="1"/>
  <c r="F29" i="1"/>
  <c r="B29" i="1"/>
  <c r="Q28" i="1"/>
  <c r="P28" i="1"/>
  <c r="O28" i="1"/>
  <c r="M28" i="1"/>
  <c r="F28" i="1"/>
  <c r="B28" i="1"/>
  <c r="Q27" i="1"/>
  <c r="P27" i="1"/>
  <c r="O27" i="1"/>
  <c r="M27" i="1"/>
  <c r="F27" i="1"/>
  <c r="B27" i="1"/>
  <c r="Q26" i="1"/>
  <c r="P26" i="1"/>
  <c r="O26" i="1"/>
  <c r="M26" i="1"/>
  <c r="F26" i="1"/>
  <c r="B26" i="1"/>
  <c r="Q25" i="1"/>
  <c r="P25" i="1"/>
  <c r="O25" i="1"/>
  <c r="M25" i="1"/>
  <c r="F25" i="1"/>
  <c r="B25" i="1"/>
  <c r="Q24" i="1"/>
  <c r="P24" i="1"/>
  <c r="O24" i="1"/>
  <c r="M24" i="1"/>
  <c r="F24" i="1"/>
  <c r="B24" i="1"/>
  <c r="Q23" i="1"/>
  <c r="P23" i="1"/>
  <c r="O23" i="1"/>
  <c r="M23" i="1"/>
  <c r="F23" i="1"/>
  <c r="B23" i="1"/>
  <c r="Q22" i="1"/>
  <c r="P22" i="1"/>
  <c r="O22" i="1"/>
  <c r="M22" i="1"/>
  <c r="F22" i="1"/>
  <c r="B22" i="1"/>
  <c r="Q21" i="1"/>
  <c r="P21" i="1"/>
  <c r="O21" i="1"/>
  <c r="M21" i="1"/>
  <c r="F21" i="1"/>
  <c r="B21" i="1"/>
  <c r="Q20" i="1"/>
  <c r="P20" i="1"/>
  <c r="O20" i="1"/>
  <c r="M20" i="1"/>
  <c r="F20" i="1"/>
  <c r="B20" i="1"/>
  <c r="Q19" i="1"/>
  <c r="P19" i="1"/>
  <c r="O19" i="1"/>
  <c r="M19" i="1"/>
  <c r="F19" i="1"/>
  <c r="B19" i="1"/>
  <c r="Q18" i="1"/>
  <c r="P18" i="1"/>
  <c r="O18" i="1"/>
  <c r="M18" i="1"/>
  <c r="F18" i="1"/>
  <c r="B18" i="1"/>
  <c r="Q17" i="1"/>
  <c r="P17" i="1"/>
  <c r="O17" i="1"/>
  <c r="M17" i="1"/>
  <c r="F17" i="1"/>
  <c r="B17" i="1"/>
  <c r="Q16" i="1"/>
  <c r="P16" i="1"/>
  <c r="O16" i="1"/>
  <c r="M16" i="1"/>
  <c r="F16" i="1"/>
  <c r="B16" i="1"/>
  <c r="Q15" i="1"/>
  <c r="P15" i="1"/>
  <c r="O15" i="1"/>
  <c r="M15" i="1"/>
  <c r="F15" i="1"/>
  <c r="B15" i="1"/>
  <c r="Q14" i="1"/>
  <c r="P14" i="1"/>
  <c r="O14" i="1"/>
  <c r="M14" i="1"/>
  <c r="F14" i="1"/>
  <c r="B14" i="1"/>
  <c r="Q13" i="1"/>
  <c r="P13" i="1"/>
  <c r="O13" i="1"/>
  <c r="M13" i="1"/>
  <c r="F13" i="1"/>
  <c r="B13" i="1"/>
  <c r="Q12" i="1"/>
  <c r="P12" i="1"/>
  <c r="O12" i="1"/>
  <c r="M12" i="1"/>
  <c r="F12" i="1"/>
  <c r="B12" i="1"/>
  <c r="Q11" i="1"/>
  <c r="P11" i="1"/>
  <c r="O11" i="1"/>
  <c r="M11" i="1"/>
  <c r="F11" i="1"/>
  <c r="B11" i="1"/>
  <c r="Q10" i="1"/>
  <c r="P10" i="1"/>
  <c r="O10" i="1"/>
  <c r="M10" i="1"/>
  <c r="F10" i="1"/>
  <c r="B10" i="1"/>
  <c r="Q9" i="1"/>
  <c r="P9" i="1"/>
  <c r="O9" i="1"/>
  <c r="M9" i="1"/>
  <c r="F9" i="1"/>
  <c r="B9" i="1"/>
  <c r="Q8" i="1"/>
  <c r="P8" i="1"/>
  <c r="O8" i="1"/>
  <c r="M8" i="1"/>
  <c r="F8" i="1"/>
  <c r="B8" i="1"/>
  <c r="Q7" i="1"/>
  <c r="P7" i="1"/>
  <c r="O7" i="1"/>
  <c r="M7" i="1"/>
  <c r="F7" i="1"/>
  <c r="B7" i="1"/>
  <c r="Q6" i="1"/>
  <c r="P6" i="1"/>
  <c r="O6" i="1"/>
  <c r="M6" i="1"/>
  <c r="F6" i="1"/>
  <c r="B6" i="1"/>
  <c r="Q5" i="1"/>
  <c r="P5" i="1"/>
  <c r="O5" i="1"/>
  <c r="M5" i="1"/>
  <c r="F5" i="1"/>
  <c r="B5" i="1"/>
  <c r="Q4" i="1"/>
  <c r="P4" i="1"/>
  <c r="O4" i="1"/>
  <c r="M4" i="1"/>
  <c r="F4" i="1"/>
  <c r="C22" i="14" l="1"/>
  <c r="D22" i="14" s="1"/>
  <c r="I22" i="14"/>
  <c r="F10" i="12"/>
  <c r="V10" i="12" s="1"/>
  <c r="X10" i="12"/>
  <c r="I18" i="14"/>
  <c r="C18" i="14"/>
  <c r="D18" i="14" s="1"/>
  <c r="X18" i="12"/>
  <c r="U10" i="12"/>
  <c r="U16" i="12"/>
  <c r="Q16" i="12"/>
  <c r="R16" i="12" s="1"/>
  <c r="U38" i="12"/>
  <c r="X57" i="12"/>
  <c r="F57" i="12"/>
  <c r="F71" i="12"/>
  <c r="X71" i="12"/>
  <c r="N4" i="11"/>
  <c r="R4" i="11" s="1"/>
  <c r="Q5" i="11"/>
  <c r="V6" i="11"/>
  <c r="B19" i="14" s="1"/>
  <c r="Q6" i="12"/>
  <c r="U6" i="12"/>
  <c r="Q26" i="12"/>
  <c r="U26" i="12"/>
  <c r="U28" i="12"/>
  <c r="Q28" i="12"/>
  <c r="V50" i="12"/>
  <c r="Q50" i="12"/>
  <c r="R50" i="12" s="1"/>
  <c r="V56" i="12"/>
  <c r="V62" i="12"/>
  <c r="Q62" i="12"/>
  <c r="R62" i="12" s="1"/>
  <c r="X26" i="12"/>
  <c r="V8" i="11"/>
  <c r="B21" i="14" s="1"/>
  <c r="V7" i="12"/>
  <c r="Q18" i="12"/>
  <c r="U18" i="12"/>
  <c r="R21" i="12"/>
  <c r="Q34" i="12"/>
  <c r="U34" i="12"/>
  <c r="X44" i="12"/>
  <c r="U51" i="12"/>
  <c r="X65" i="12"/>
  <c r="F65" i="12"/>
  <c r="V65" i="12" s="1"/>
  <c r="Q70" i="12"/>
  <c r="R70" i="12" s="1"/>
  <c r="V70" i="12"/>
  <c r="X73" i="12"/>
  <c r="F73" i="12"/>
  <c r="V73" i="12" s="1"/>
  <c r="I23" i="14"/>
  <c r="C23" i="14"/>
  <c r="D23" i="14" s="1"/>
  <c r="Q4" i="12"/>
  <c r="R4" i="12" s="1"/>
  <c r="V4" i="12"/>
  <c r="T7" i="12"/>
  <c r="X28" i="12"/>
  <c r="O4" i="11"/>
  <c r="S4" i="11" s="1"/>
  <c r="M3" i="11"/>
  <c r="Q9" i="11"/>
  <c r="T4" i="12"/>
  <c r="U12" i="12"/>
  <c r="Q12" i="12"/>
  <c r="Q13" i="12"/>
  <c r="V16" i="12"/>
  <c r="Q30" i="12"/>
  <c r="U30" i="12"/>
  <c r="V53" i="12"/>
  <c r="Q53" i="12"/>
  <c r="F82" i="12"/>
  <c r="X82" i="12"/>
  <c r="U46" i="12"/>
  <c r="V55" i="12"/>
  <c r="Q55" i="12"/>
  <c r="R55" i="12" s="1"/>
  <c r="U56" i="12"/>
  <c r="T61" i="12"/>
  <c r="V68" i="12"/>
  <c r="Q68" i="12"/>
  <c r="R68" i="12" s="1"/>
  <c r="Q76" i="12"/>
  <c r="R76" i="12" s="1"/>
  <c r="V76" i="12"/>
  <c r="Q14" i="12"/>
  <c r="U14" i="12"/>
  <c r="Q51" i="12"/>
  <c r="T55" i="12"/>
  <c r="Q72" i="12"/>
  <c r="R72" i="12" s="1"/>
  <c r="V72" i="12"/>
  <c r="I20" i="14"/>
  <c r="C20" i="14"/>
  <c r="D20" i="14" s="1"/>
  <c r="U20" i="12"/>
  <c r="Q20" i="12"/>
  <c r="Q48" i="12"/>
  <c r="R48" i="12" s="1"/>
  <c r="F59" i="12"/>
  <c r="V59" i="12" s="1"/>
  <c r="X59" i="12"/>
  <c r="U8" i="12"/>
  <c r="Q8" i="12"/>
  <c r="X8" i="12"/>
  <c r="V12" i="12"/>
  <c r="X22" i="12"/>
  <c r="X24" i="12"/>
  <c r="R29" i="12"/>
  <c r="X30" i="12"/>
  <c r="F30" i="12"/>
  <c r="V30" i="12" s="1"/>
  <c r="U42" i="12"/>
  <c r="T48" i="12"/>
  <c r="Q58" i="12"/>
  <c r="R58" i="12" s="1"/>
  <c r="V58" i="12"/>
  <c r="Q5" i="12"/>
  <c r="Q9" i="12"/>
  <c r="Q22" i="12"/>
  <c r="U22" i="12"/>
  <c r="U24" i="12"/>
  <c r="P3" i="11"/>
  <c r="T3" i="11" s="1"/>
  <c r="Q24" i="12"/>
  <c r="X32" i="12"/>
  <c r="U61" i="12"/>
  <c r="F63" i="12"/>
  <c r="V63" i="12" s="1"/>
  <c r="X63" i="12"/>
  <c r="F67" i="12"/>
  <c r="V67" i="12" s="1"/>
  <c r="X67" i="12"/>
  <c r="F75" i="12"/>
  <c r="X75" i="12"/>
  <c r="X50" i="12"/>
  <c r="Q56" i="12"/>
  <c r="R56" i="12" s="1"/>
  <c r="T60" i="12"/>
  <c r="X62" i="12"/>
  <c r="Q67" i="12"/>
  <c r="U75" i="12"/>
  <c r="V83" i="12"/>
  <c r="Q83" i="12"/>
  <c r="R83" i="12" s="1"/>
  <c r="F91" i="12"/>
  <c r="U92" i="12"/>
  <c r="R97" i="12"/>
  <c r="T101" i="12"/>
  <c r="V106" i="12"/>
  <c r="Q106" i="12"/>
  <c r="R106" i="12" s="1"/>
  <c r="U107" i="12"/>
  <c r="Q175" i="12"/>
  <c r="R175" i="12" s="1"/>
  <c r="V175" i="12"/>
  <c r="F11" i="12"/>
  <c r="F15" i="12"/>
  <c r="F19" i="12"/>
  <c r="F23" i="12"/>
  <c r="F27" i="12"/>
  <c r="F31" i="12"/>
  <c r="F35" i="12"/>
  <c r="Q37" i="12"/>
  <c r="F39" i="12"/>
  <c r="Q41" i="12"/>
  <c r="F43" i="12"/>
  <c r="Q45" i="12"/>
  <c r="F47" i="12"/>
  <c r="Q54" i="12"/>
  <c r="R54" i="12" s="1"/>
  <c r="V66" i="12"/>
  <c r="Q69" i="12"/>
  <c r="R69" i="12" s="1"/>
  <c r="T70" i="12"/>
  <c r="X72" i="12"/>
  <c r="Q74" i="12"/>
  <c r="R74" i="12" s="1"/>
  <c r="F79" i="12"/>
  <c r="Q80" i="12"/>
  <c r="R80" i="12" s="1"/>
  <c r="V87" i="12"/>
  <c r="Q87" i="12"/>
  <c r="R87" i="12" s="1"/>
  <c r="V88" i="12"/>
  <c r="Q89" i="12"/>
  <c r="X92" i="12"/>
  <c r="X98" i="12"/>
  <c r="X100" i="12"/>
  <c r="V105" i="12"/>
  <c r="Q105" i="12"/>
  <c r="T106" i="12"/>
  <c r="U109" i="12"/>
  <c r="Q109" i="12"/>
  <c r="R109" i="12" s="1"/>
  <c r="V115" i="12"/>
  <c r="Q115" i="12"/>
  <c r="R115" i="12" s="1"/>
  <c r="U131" i="12"/>
  <c r="Q146" i="12"/>
  <c r="T64" i="12"/>
  <c r="T83" i="12"/>
  <c r="T87" i="12"/>
  <c r="Q8" i="11"/>
  <c r="Q32" i="12"/>
  <c r="F34" i="12"/>
  <c r="V34" i="12" s="1"/>
  <c r="Q36" i="12"/>
  <c r="F38" i="12"/>
  <c r="V38" i="12" s="1"/>
  <c r="Q40" i="12"/>
  <c r="F42" i="12"/>
  <c r="V42" i="12" s="1"/>
  <c r="Q44" i="12"/>
  <c r="F46" i="12"/>
  <c r="V46" i="12" s="1"/>
  <c r="F49" i="12"/>
  <c r="V49" i="12" s="1"/>
  <c r="F51" i="12"/>
  <c r="V51" i="12" s="1"/>
  <c r="T54" i="12"/>
  <c r="X60" i="12"/>
  <c r="U64" i="12"/>
  <c r="Q73" i="12"/>
  <c r="R73" i="12" s="1"/>
  <c r="T74" i="12"/>
  <c r="X76" i="12"/>
  <c r="U83" i="12"/>
  <c r="T84" i="12"/>
  <c r="U87" i="12"/>
  <c r="U94" i="12"/>
  <c r="Q94" i="12"/>
  <c r="R94" i="12" s="1"/>
  <c r="Q96" i="12"/>
  <c r="R96" i="12" s="1"/>
  <c r="Q98" i="12"/>
  <c r="V121" i="12"/>
  <c r="T128" i="12"/>
  <c r="U128" i="12"/>
  <c r="T52" i="12"/>
  <c r="X58" i="12"/>
  <c r="V64" i="12"/>
  <c r="X70" i="12"/>
  <c r="X86" i="12"/>
  <c r="V107" i="12"/>
  <c r="Q107" i="12"/>
  <c r="R107" i="12" s="1"/>
  <c r="R126" i="12"/>
  <c r="T126" i="12"/>
  <c r="V127" i="12"/>
  <c r="T131" i="12"/>
  <c r="R140" i="12"/>
  <c r="T140" i="12"/>
  <c r="T50" i="12"/>
  <c r="U52" i="12"/>
  <c r="Q61" i="12"/>
  <c r="R61" i="12" s="1"/>
  <c r="T62" i="12"/>
  <c r="Q77" i="12"/>
  <c r="R77" i="12" s="1"/>
  <c r="V94" i="12"/>
  <c r="X108" i="12"/>
  <c r="F108" i="12"/>
  <c r="V108" i="12" s="1"/>
  <c r="R136" i="12"/>
  <c r="T136" i="12"/>
  <c r="V61" i="12"/>
  <c r="Q63" i="12"/>
  <c r="V77" i="12"/>
  <c r="X78" i="12"/>
  <c r="U79" i="12"/>
  <c r="Q99" i="12"/>
  <c r="R99" i="12" s="1"/>
  <c r="V99" i="12"/>
  <c r="U121" i="12"/>
  <c r="T135" i="12"/>
  <c r="V135" i="12"/>
  <c r="X52" i="12"/>
  <c r="Q65" i="12"/>
  <c r="R65" i="12" s="1"/>
  <c r="T66" i="12"/>
  <c r="X68" i="12"/>
  <c r="U72" i="12"/>
  <c r="Q78" i="12"/>
  <c r="T92" i="12"/>
  <c r="R93" i="12"/>
  <c r="T100" i="12"/>
  <c r="U100" i="12"/>
  <c r="T112" i="12"/>
  <c r="U112" i="12"/>
  <c r="X117" i="12"/>
  <c r="V165" i="12"/>
  <c r="Q165" i="12"/>
  <c r="R165" i="12" s="1"/>
  <c r="Q104" i="12"/>
  <c r="R104" i="12" s="1"/>
  <c r="T108" i="12"/>
  <c r="X114" i="12"/>
  <c r="X127" i="12"/>
  <c r="U135" i="12"/>
  <c r="U138" i="12"/>
  <c r="V164" i="12"/>
  <c r="Q164" i="12"/>
  <c r="R164" i="12" s="1"/>
  <c r="U78" i="12"/>
  <c r="Q85" i="12"/>
  <c r="Q88" i="12"/>
  <c r="R88" i="12" s="1"/>
  <c r="U88" i="12"/>
  <c r="T95" i="12"/>
  <c r="U99" i="12"/>
  <c r="U108" i="12"/>
  <c r="Q110" i="12"/>
  <c r="Q114" i="12"/>
  <c r="Q116" i="12"/>
  <c r="U119" i="12"/>
  <c r="Q124" i="12"/>
  <c r="U129" i="12"/>
  <c r="Q137" i="12"/>
  <c r="R137" i="12" s="1"/>
  <c r="R144" i="12"/>
  <c r="T144" i="12"/>
  <c r="V154" i="12"/>
  <c r="Q154" i="12"/>
  <c r="R154" i="12" s="1"/>
  <c r="U156" i="12"/>
  <c r="U161" i="12"/>
  <c r="V168" i="12"/>
  <c r="Q168" i="12"/>
  <c r="R168" i="12" s="1"/>
  <c r="V192" i="12"/>
  <c r="Q192" i="12"/>
  <c r="R192" i="12" s="1"/>
  <c r="Q81" i="12"/>
  <c r="U82" i="12"/>
  <c r="Q84" i="12"/>
  <c r="R84" i="12" s="1"/>
  <c r="U84" i="12"/>
  <c r="U95" i="12"/>
  <c r="X102" i="12"/>
  <c r="Q108" i="12"/>
  <c r="R108" i="12" s="1"/>
  <c r="U115" i="12"/>
  <c r="F116" i="12"/>
  <c r="V116" i="12" s="1"/>
  <c r="Q117" i="12"/>
  <c r="R117" i="12" s="1"/>
  <c r="F120" i="12"/>
  <c r="V128" i="12"/>
  <c r="X130" i="12"/>
  <c r="Q132" i="12"/>
  <c r="R132" i="12" s="1"/>
  <c r="Q133" i="12"/>
  <c r="R133" i="12" s="1"/>
  <c r="V153" i="12"/>
  <c r="Q153" i="12"/>
  <c r="R153" i="12" s="1"/>
  <c r="U165" i="12"/>
  <c r="V97" i="12"/>
  <c r="U102" i="12"/>
  <c r="X105" i="12"/>
  <c r="Q121" i="12"/>
  <c r="R121" i="12" s="1"/>
  <c r="V132" i="12"/>
  <c r="R148" i="12"/>
  <c r="T148" i="12"/>
  <c r="V158" i="12"/>
  <c r="Q158" i="12"/>
  <c r="R158" i="12" s="1"/>
  <c r="Q86" i="12"/>
  <c r="F103" i="12"/>
  <c r="X110" i="12"/>
  <c r="T117" i="12"/>
  <c r="U117" i="12"/>
  <c r="T119" i="12"/>
  <c r="T133" i="12"/>
  <c r="U133" i="12"/>
  <c r="V143" i="12"/>
  <c r="Q143" i="12"/>
  <c r="R143" i="12" s="1"/>
  <c r="U151" i="12"/>
  <c r="Q151" i="12"/>
  <c r="R151" i="12" s="1"/>
  <c r="Q171" i="12"/>
  <c r="R171" i="12" s="1"/>
  <c r="V171" i="12"/>
  <c r="T179" i="12"/>
  <c r="X89" i="12"/>
  <c r="U98" i="12"/>
  <c r="Q100" i="12"/>
  <c r="R100" i="12" s="1"/>
  <c r="Q102" i="12"/>
  <c r="R102" i="12" s="1"/>
  <c r="T104" i="12"/>
  <c r="T113" i="12"/>
  <c r="U113" i="12"/>
  <c r="T115" i="12"/>
  <c r="Q122" i="12"/>
  <c r="V131" i="12"/>
  <c r="Q131" i="12"/>
  <c r="R131" i="12" s="1"/>
  <c r="X133" i="12"/>
  <c r="X142" i="12"/>
  <c r="F142" i="12"/>
  <c r="T145" i="12"/>
  <c r="T167" i="12"/>
  <c r="T171" i="12"/>
  <c r="V174" i="12"/>
  <c r="Q174" i="12"/>
  <c r="R174" i="12" s="1"/>
  <c r="X109" i="12"/>
  <c r="U116" i="12"/>
  <c r="X119" i="12"/>
  <c r="T123" i="12"/>
  <c r="Q125" i="12"/>
  <c r="R125" i="12" s="1"/>
  <c r="X125" i="12"/>
  <c r="Q130" i="12"/>
  <c r="U132" i="12"/>
  <c r="T139" i="12"/>
  <c r="Q141" i="12"/>
  <c r="R141" i="12" s="1"/>
  <c r="X145" i="12"/>
  <c r="U149" i="12"/>
  <c r="T155" i="12"/>
  <c r="T160" i="12"/>
  <c r="Q179" i="12"/>
  <c r="R179" i="12" s="1"/>
  <c r="V179" i="12"/>
  <c r="U205" i="12"/>
  <c r="T205" i="12"/>
  <c r="Q183" i="12"/>
  <c r="R183" i="12" s="1"/>
  <c r="V183" i="12"/>
  <c r="Q187" i="12"/>
  <c r="R187" i="12" s="1"/>
  <c r="V187" i="12"/>
  <c r="U189" i="12"/>
  <c r="T189" i="12"/>
  <c r="V193" i="12"/>
  <c r="Q193" i="12"/>
  <c r="R193" i="12" s="1"/>
  <c r="Q203" i="12"/>
  <c r="R203" i="12" s="1"/>
  <c r="V203" i="12"/>
  <c r="T111" i="12"/>
  <c r="Q113" i="12"/>
  <c r="R113" i="12" s="1"/>
  <c r="X113" i="12"/>
  <c r="Q118" i="12"/>
  <c r="X123" i="12"/>
  <c r="T127" i="12"/>
  <c r="Q129" i="12"/>
  <c r="R129" i="12" s="1"/>
  <c r="X129" i="12"/>
  <c r="Q134" i="12"/>
  <c r="X139" i="12"/>
  <c r="T143" i="12"/>
  <c r="U145" i="12"/>
  <c r="V149" i="12"/>
  <c r="V150" i="12"/>
  <c r="Q150" i="12"/>
  <c r="R150" i="12" s="1"/>
  <c r="V157" i="12"/>
  <c r="Q157" i="12"/>
  <c r="R157" i="12" s="1"/>
  <c r="T159" i="12"/>
  <c r="T164" i="12"/>
  <c r="X170" i="12"/>
  <c r="V172" i="12"/>
  <c r="Q172" i="12"/>
  <c r="R172" i="12" s="1"/>
  <c r="Q182" i="12"/>
  <c r="R182" i="12" s="1"/>
  <c r="T187" i="12"/>
  <c r="T188" i="12"/>
  <c r="V197" i="12"/>
  <c r="Q197" i="12"/>
  <c r="R197" i="12" s="1"/>
  <c r="V202" i="12"/>
  <c r="Q202" i="12"/>
  <c r="U139" i="12"/>
  <c r="X147" i="12"/>
  <c r="T150" i="12"/>
  <c r="V152" i="12"/>
  <c r="V156" i="12"/>
  <c r="Q156" i="12"/>
  <c r="R156" i="12" s="1"/>
  <c r="V162" i="12"/>
  <c r="Q162" i="12"/>
  <c r="R162" i="12" s="1"/>
  <c r="U167" i="12"/>
  <c r="X174" i="12"/>
  <c r="V176" i="12"/>
  <c r="Q176" i="12"/>
  <c r="R176" i="12" s="1"/>
  <c r="X143" i="12"/>
  <c r="V161" i="12"/>
  <c r="Q161" i="12"/>
  <c r="R161" i="12" s="1"/>
  <c r="T163" i="12"/>
  <c r="T168" i="12"/>
  <c r="V180" i="12"/>
  <c r="Q180" i="12"/>
  <c r="R180" i="12" s="1"/>
  <c r="V206" i="12"/>
  <c r="Q206" i="12"/>
  <c r="T141" i="12"/>
  <c r="Q147" i="12"/>
  <c r="R147" i="12" s="1"/>
  <c r="U155" i="12"/>
  <c r="T157" i="12"/>
  <c r="V160" i="12"/>
  <c r="Q160" i="12"/>
  <c r="R160" i="12" s="1"/>
  <c r="V166" i="12"/>
  <c r="Q166" i="12"/>
  <c r="R166" i="12" s="1"/>
  <c r="T172" i="12"/>
  <c r="X182" i="12"/>
  <c r="V184" i="12"/>
  <c r="Q184" i="12"/>
  <c r="R184" i="12" s="1"/>
  <c r="V190" i="12"/>
  <c r="Q190" i="12"/>
  <c r="Q145" i="12"/>
  <c r="R145" i="12" s="1"/>
  <c r="U147" i="12"/>
  <c r="Q149" i="12"/>
  <c r="R149" i="12" s="1"/>
  <c r="T152" i="12"/>
  <c r="U173" i="12"/>
  <c r="U181" i="12"/>
  <c r="V189" i="12"/>
  <c r="Q189" i="12"/>
  <c r="R189" i="12" s="1"/>
  <c r="X191" i="12"/>
  <c r="Q199" i="12"/>
  <c r="R199" i="12" s="1"/>
  <c r="V199" i="12"/>
  <c r="Q200" i="12"/>
  <c r="R200" i="12" s="1"/>
  <c r="U201" i="12"/>
  <c r="T198" i="12"/>
  <c r="R198" i="12"/>
  <c r="T199" i="12"/>
  <c r="X202" i="12"/>
  <c r="V209" i="12"/>
  <c r="Q209" i="12"/>
  <c r="R209" i="12" s="1"/>
  <c r="Q207" i="12"/>
  <c r="R207" i="12" s="1"/>
  <c r="V207" i="12"/>
  <c r="Q208" i="12"/>
  <c r="R208" i="12" s="1"/>
  <c r="U209" i="12"/>
  <c r="T209" i="12"/>
  <c r="X210" i="12"/>
  <c r="X152" i="12"/>
  <c r="T153" i="12"/>
  <c r="V155" i="12"/>
  <c r="V159" i="12"/>
  <c r="V163" i="12"/>
  <c r="V167" i="12"/>
  <c r="V169" i="12"/>
  <c r="Q169" i="12"/>
  <c r="R169" i="12" s="1"/>
  <c r="T170" i="12"/>
  <c r="X171" i="12"/>
  <c r="X172" i="12"/>
  <c r="U175" i="12"/>
  <c r="V177" i="12"/>
  <c r="Q177" i="12"/>
  <c r="R177" i="12" s="1"/>
  <c r="T178" i="12"/>
  <c r="X179" i="12"/>
  <c r="X180" i="12"/>
  <c r="U183" i="12"/>
  <c r="V185" i="12"/>
  <c r="Q185" i="12"/>
  <c r="R185" i="12" s="1"/>
  <c r="T186" i="12"/>
  <c r="X187" i="12"/>
  <c r="Q195" i="12"/>
  <c r="R195" i="12" s="1"/>
  <c r="V195" i="12"/>
  <c r="Q196" i="12"/>
  <c r="R196" i="12" s="1"/>
  <c r="U197" i="12"/>
  <c r="U203" i="12"/>
  <c r="T207" i="12"/>
  <c r="X209" i="12"/>
  <c r="Q211" i="12"/>
  <c r="R211" i="12" s="1"/>
  <c r="U153" i="12"/>
  <c r="Q155" i="12"/>
  <c r="R155" i="12" s="1"/>
  <c r="Q159" i="12"/>
  <c r="R159" i="12" s="1"/>
  <c r="Q163" i="12"/>
  <c r="R163" i="12" s="1"/>
  <c r="Q167" i="12"/>
  <c r="R167" i="12" s="1"/>
  <c r="U169" i="12"/>
  <c r="U177" i="12"/>
  <c r="T177" i="12"/>
  <c r="U185" i="12"/>
  <c r="Q194" i="12"/>
  <c r="X197" i="12"/>
  <c r="V205" i="12"/>
  <c r="Q205" i="12"/>
  <c r="R205" i="12" s="1"/>
  <c r="X207" i="12"/>
  <c r="Q210" i="12"/>
  <c r="R210" i="12" s="1"/>
  <c r="Q191" i="12"/>
  <c r="R191" i="12" s="1"/>
  <c r="V191" i="12"/>
  <c r="U193" i="12"/>
  <c r="U199" i="12"/>
  <c r="T203" i="12"/>
  <c r="T204" i="12"/>
  <c r="X206" i="12"/>
  <c r="X150" i="12"/>
  <c r="X154" i="12"/>
  <c r="X156" i="12"/>
  <c r="X158" i="12"/>
  <c r="X160" i="12"/>
  <c r="X162" i="12"/>
  <c r="X164" i="12"/>
  <c r="X166" i="12"/>
  <c r="X168" i="12"/>
  <c r="U171" i="12"/>
  <c r="V173" i="12"/>
  <c r="Q173" i="12"/>
  <c r="R173" i="12" s="1"/>
  <c r="T174" i="12"/>
  <c r="X175" i="12"/>
  <c r="X176" i="12"/>
  <c r="U179" i="12"/>
  <c r="V181" i="12"/>
  <c r="Q181" i="12"/>
  <c r="R181" i="12" s="1"/>
  <c r="T182" i="12"/>
  <c r="X183" i="12"/>
  <c r="U187" i="12"/>
  <c r="X193" i="12"/>
  <c r="V201" i="12"/>
  <c r="Q201" i="12"/>
  <c r="R201" i="12" s="1"/>
  <c r="X203" i="12"/>
  <c r="U211" i="12"/>
  <c r="T165" i="12" l="1"/>
  <c r="T156" i="12"/>
  <c r="T36" i="12"/>
  <c r="R36" i="12"/>
  <c r="Q31" i="12"/>
  <c r="V31" i="12"/>
  <c r="V91" i="12"/>
  <c r="Q91" i="12"/>
  <c r="T9" i="12"/>
  <c r="R9" i="12"/>
  <c r="T8" i="12"/>
  <c r="R8" i="12"/>
  <c r="Q82" i="12"/>
  <c r="V82" i="12"/>
  <c r="R6" i="12"/>
  <c r="T6" i="12"/>
  <c r="Q49" i="12"/>
  <c r="T173" i="12"/>
  <c r="T180" i="12"/>
  <c r="T193" i="12"/>
  <c r="T195" i="12"/>
  <c r="Q35" i="12"/>
  <c r="V35" i="12"/>
  <c r="Q42" i="12"/>
  <c r="T125" i="12"/>
  <c r="T185" i="12"/>
  <c r="T210" i="12"/>
  <c r="T109" i="12"/>
  <c r="T183" i="12"/>
  <c r="R134" i="12"/>
  <c r="T134" i="12"/>
  <c r="T175" i="12"/>
  <c r="T147" i="12"/>
  <c r="T161" i="12"/>
  <c r="T129" i="12"/>
  <c r="T162" i="12"/>
  <c r="T80" i="12"/>
  <c r="V79" i="12"/>
  <c r="Q79" i="12"/>
  <c r="Q47" i="12"/>
  <c r="V47" i="12"/>
  <c r="Q27" i="12"/>
  <c r="V27" i="12"/>
  <c r="T107" i="12"/>
  <c r="T5" i="12"/>
  <c r="R5" i="12"/>
  <c r="R14" i="12"/>
  <c r="T14" i="12"/>
  <c r="T56" i="12"/>
  <c r="T73" i="12"/>
  <c r="T13" i="12"/>
  <c r="R13" i="12"/>
  <c r="C19" i="14"/>
  <c r="D19" i="14" s="1"/>
  <c r="I19" i="14"/>
  <c r="V75" i="12"/>
  <c r="Q75" i="12"/>
  <c r="V120" i="12"/>
  <c r="Q120" i="12"/>
  <c r="T132" i="12"/>
  <c r="Q59" i="12"/>
  <c r="R146" i="12"/>
  <c r="T146" i="12"/>
  <c r="T58" i="12"/>
  <c r="R22" i="12"/>
  <c r="T22" i="12"/>
  <c r="R51" i="12"/>
  <c r="T51" i="12"/>
  <c r="R34" i="12"/>
  <c r="T34" i="12"/>
  <c r="T211" i="12"/>
  <c r="T194" i="12"/>
  <c r="R194" i="12"/>
  <c r="T192" i="12"/>
  <c r="T197" i="12"/>
  <c r="T191" i="12"/>
  <c r="T201" i="12"/>
  <c r="T181" i="12"/>
  <c r="T190" i="12"/>
  <c r="R190" i="12"/>
  <c r="T206" i="12"/>
  <c r="R206" i="12"/>
  <c r="T158" i="12"/>
  <c r="T137" i="12"/>
  <c r="T154" i="12"/>
  <c r="T166" i="12"/>
  <c r="R130" i="12"/>
  <c r="T130" i="12"/>
  <c r="Q103" i="12"/>
  <c r="V103" i="12"/>
  <c r="R124" i="12"/>
  <c r="T124" i="12"/>
  <c r="R78" i="12"/>
  <c r="T78" i="12"/>
  <c r="T102" i="12"/>
  <c r="T32" i="12"/>
  <c r="R32" i="12"/>
  <c r="T96" i="12"/>
  <c r="T45" i="12"/>
  <c r="R45" i="12"/>
  <c r="Q23" i="12"/>
  <c r="V23" i="12"/>
  <c r="T88" i="12"/>
  <c r="V4" i="11"/>
  <c r="B17" i="14" s="1"/>
  <c r="T77" i="12"/>
  <c r="T65" i="12"/>
  <c r="R12" i="12"/>
  <c r="T12" i="12"/>
  <c r="R18" i="12"/>
  <c r="T18" i="12"/>
  <c r="Q38" i="12"/>
  <c r="T16" i="12"/>
  <c r="R85" i="12"/>
  <c r="T85" i="12"/>
  <c r="T149" i="12"/>
  <c r="T202" i="12"/>
  <c r="R202" i="12"/>
  <c r="R122" i="12"/>
  <c r="T122" i="12"/>
  <c r="R86" i="12"/>
  <c r="T86" i="12"/>
  <c r="R81" i="12"/>
  <c r="T81" i="12"/>
  <c r="T121" i="12"/>
  <c r="T72" i="12"/>
  <c r="T68" i="12"/>
  <c r="R98" i="12"/>
  <c r="T98" i="12"/>
  <c r="Q43" i="12"/>
  <c r="V43" i="12"/>
  <c r="Q19" i="12"/>
  <c r="V19" i="12"/>
  <c r="T76" i="12"/>
  <c r="R24" i="12"/>
  <c r="T24" i="12"/>
  <c r="R53" i="12"/>
  <c r="T53" i="12"/>
  <c r="R28" i="12"/>
  <c r="T28" i="12"/>
  <c r="I21" i="14"/>
  <c r="C21" i="14"/>
  <c r="D21" i="14" s="1"/>
  <c r="V15" i="12"/>
  <c r="Q15" i="12"/>
  <c r="T169" i="12"/>
  <c r="Q11" i="12"/>
  <c r="V11" i="12"/>
  <c r="T99" i="12"/>
  <c r="R67" i="12"/>
  <c r="T67" i="12"/>
  <c r="T69" i="12"/>
  <c r="V71" i="12"/>
  <c r="Q71" i="12"/>
  <c r="R116" i="12"/>
  <c r="T116" i="12"/>
  <c r="R63" i="12"/>
  <c r="T63" i="12"/>
  <c r="T44" i="12"/>
  <c r="R44" i="12"/>
  <c r="R89" i="12"/>
  <c r="T89" i="12"/>
  <c r="T41" i="12"/>
  <c r="R41" i="12"/>
  <c r="T200" i="12"/>
  <c r="T176" i="12"/>
  <c r="R114" i="12"/>
  <c r="T114" i="12"/>
  <c r="Q39" i="12"/>
  <c r="V39" i="12"/>
  <c r="T196" i="12"/>
  <c r="T208" i="12"/>
  <c r="T151" i="12"/>
  <c r="R118" i="12"/>
  <c r="T118" i="12"/>
  <c r="T184" i="12"/>
  <c r="V142" i="12"/>
  <c r="Q142" i="12"/>
  <c r="R110" i="12"/>
  <c r="T110" i="12"/>
  <c r="T94" i="12"/>
  <c r="T40" i="12"/>
  <c r="R40" i="12"/>
  <c r="T105" i="12"/>
  <c r="R105" i="12"/>
  <c r="T37" i="12"/>
  <c r="R37" i="12"/>
  <c r="R20" i="12"/>
  <c r="T20" i="12"/>
  <c r="Q46" i="12"/>
  <c r="R30" i="12"/>
  <c r="T30" i="12"/>
  <c r="Q3" i="11"/>
  <c r="V3" i="11"/>
  <c r="B16" i="14" s="1"/>
  <c r="R26" i="12"/>
  <c r="T26" i="12"/>
  <c r="V57" i="12"/>
  <c r="Q57" i="12"/>
  <c r="Q10" i="12"/>
  <c r="R103" i="12" l="1"/>
  <c r="T103" i="12"/>
  <c r="C16" i="14"/>
  <c r="D16" i="14" s="1"/>
  <c r="I16" i="14"/>
  <c r="R71" i="12"/>
  <c r="T71" i="12"/>
  <c r="I17" i="14"/>
  <c r="C17" i="14"/>
  <c r="R79" i="12"/>
  <c r="T79" i="12"/>
  <c r="R11" i="12"/>
  <c r="T11" i="12"/>
  <c r="R43" i="12"/>
  <c r="T43" i="12"/>
  <c r="R75" i="12"/>
  <c r="T75" i="12"/>
  <c r="R47" i="12"/>
  <c r="T47" i="12"/>
  <c r="R42" i="12"/>
  <c r="T42" i="12"/>
  <c r="R91" i="12"/>
  <c r="T91" i="12"/>
  <c r="R142" i="12"/>
  <c r="T142" i="12"/>
  <c r="R39" i="12"/>
  <c r="T39" i="12"/>
  <c r="R15" i="12"/>
  <c r="T15" i="12"/>
  <c r="R38" i="12"/>
  <c r="T38" i="12"/>
  <c r="R35" i="12"/>
  <c r="T35" i="12"/>
  <c r="R82" i="12"/>
  <c r="T82" i="12"/>
  <c r="R31" i="12"/>
  <c r="T31" i="12"/>
  <c r="R10" i="12"/>
  <c r="T10" i="12"/>
  <c r="T23" i="12"/>
  <c r="R23" i="12"/>
  <c r="R59" i="12"/>
  <c r="T59" i="12"/>
  <c r="R57" i="12"/>
  <c r="T57" i="12"/>
  <c r="R46" i="12"/>
  <c r="T46" i="12"/>
  <c r="T19" i="12"/>
  <c r="R19" i="12"/>
  <c r="R120" i="12"/>
  <c r="T120" i="12"/>
  <c r="T27" i="12"/>
  <c r="R27" i="12"/>
  <c r="R49" i="12"/>
  <c r="T49" i="12"/>
  <c r="B26" i="14" l="1"/>
  <c r="D17" i="14"/>
  <c r="B29" i="14" l="1"/>
  <c r="B38" i="14"/>
  <c r="B41" i="14"/>
  <c r="B27" i="14"/>
  <c r="C26" i="14"/>
  <c r="C29" i="14" l="1"/>
  <c r="C38" i="14"/>
  <c r="C41" i="14"/>
  <c r="C2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16" authorId="0" shapeId="0" xr:uid="{00000000-0006-0000-0A00-000001000000}">
      <text>
        <r>
          <rPr>
            <b/>
            <sz val="9"/>
            <rFont val="Tahoma"/>
            <charset val="204"/>
          </rPr>
          <t>HP:</t>
        </r>
        <r>
          <rPr>
            <sz val="9"/>
            <rFont val="Tahoma"/>
            <charset val="204"/>
          </rPr>
          <t xml:space="preserve">
&gt;1 - 1
0,5 - 1 - 0,5
&lt;0,5 - 0</t>
        </r>
      </text>
    </comment>
  </commentList>
</comments>
</file>

<file path=xl/sharedStrings.xml><?xml version="1.0" encoding="utf-8"?>
<sst xmlns="http://schemas.openxmlformats.org/spreadsheetml/2006/main" count="1043" uniqueCount="154">
  <si>
    <t>Costs of products</t>
  </si>
  <si>
    <t>Costs of labour</t>
  </si>
  <si>
    <t>ID</t>
  </si>
  <si>
    <t>Category</t>
  </si>
  <si>
    <t>Product</t>
  </si>
  <si>
    <t>Price</t>
  </si>
  <si>
    <t>Cost</t>
  </si>
  <si>
    <t>Weight</t>
  </si>
  <si>
    <t>Dairy Products</t>
  </si>
  <si>
    <t>Meat / Seafood</t>
  </si>
  <si>
    <t>Fruits / Veggie</t>
  </si>
  <si>
    <t>Beverages</t>
  </si>
  <si>
    <t>Pantry</t>
  </si>
  <si>
    <t>Total</t>
  </si>
  <si>
    <t>Portions/hour</t>
  </si>
  <si>
    <t>Time - min</t>
  </si>
  <si>
    <t>Time - hrs</t>
  </si>
  <si>
    <t>Profit</t>
  </si>
  <si>
    <t>Производительность</t>
  </si>
  <si>
    <t>Appetizer</t>
  </si>
  <si>
    <t>Salad A</t>
  </si>
  <si>
    <t>Salad B</t>
  </si>
  <si>
    <t>Salad C</t>
  </si>
  <si>
    <t>Soup A</t>
  </si>
  <si>
    <t>Soup B</t>
  </si>
  <si>
    <t>Pirozhok A</t>
  </si>
  <si>
    <t>Pirozhok B</t>
  </si>
  <si>
    <t>Entry</t>
  </si>
  <si>
    <t>Blin A</t>
  </si>
  <si>
    <t>Blin B</t>
  </si>
  <si>
    <t>Blin C</t>
  </si>
  <si>
    <t>Blin D</t>
  </si>
  <si>
    <t>Blin E</t>
  </si>
  <si>
    <t>Blin F</t>
  </si>
  <si>
    <t>Veggie Blin A</t>
  </si>
  <si>
    <t>Fruit Blin B</t>
  </si>
  <si>
    <t>Entry A</t>
  </si>
  <si>
    <t>Entry B</t>
  </si>
  <si>
    <t>Dessert</t>
  </si>
  <si>
    <t>Cake A</t>
  </si>
  <si>
    <t>Cake B</t>
  </si>
  <si>
    <t>Candy A</t>
  </si>
  <si>
    <t>Cold Drink A</t>
  </si>
  <si>
    <t>Cold Drink B</t>
  </si>
  <si>
    <t>Cold Drink C</t>
  </si>
  <si>
    <t>Cold Drink D</t>
  </si>
  <si>
    <t>Hot Drink A</t>
  </si>
  <si>
    <t>Hot Drink B</t>
  </si>
  <si>
    <t>Labor</t>
  </si>
  <si>
    <t>Columbus</t>
  </si>
  <si>
    <t>Cincinnati</t>
  </si>
  <si>
    <t>Cleveland</t>
  </si>
  <si>
    <t>Las Vegas</t>
  </si>
  <si>
    <t>Miami</t>
  </si>
  <si>
    <t>Indianapolis</t>
  </si>
  <si>
    <t>Birmingham</t>
  </si>
  <si>
    <t>Portland</t>
  </si>
  <si>
    <t>RF</t>
  </si>
  <si>
    <t>Solution</t>
  </si>
  <si>
    <t>Average category price</t>
  </si>
  <si>
    <t>Adding average order price</t>
  </si>
  <si>
    <t>Mean order, $</t>
  </si>
  <si>
    <t>City</t>
  </si>
  <si>
    <t>Cost(with labour)</t>
  </si>
  <si>
    <t>Gross profit</t>
  </si>
  <si>
    <t>Order</t>
  </si>
  <si>
    <t>Order * Profit</t>
  </si>
  <si>
    <t>Gross Profit per Average Order</t>
  </si>
  <si>
    <t>Costs (with labor) per Average Order</t>
  </si>
  <si>
    <t>Labour cost, $</t>
  </si>
  <si>
    <t>Labor costs per avg order</t>
  </si>
  <si>
    <t>(Все)</t>
  </si>
  <si>
    <t>Среднее по категориям</t>
  </si>
  <si>
    <t>Названия строк</t>
  </si>
  <si>
    <t>Среднее по полю Price</t>
  </si>
  <si>
    <t>Среднее по полю Cost(with labour)</t>
  </si>
  <si>
    <t>Среднее по полю Profit</t>
  </si>
  <si>
    <t>Среднее по полю Gross profit margin</t>
  </si>
  <si>
    <t>Общий итог</t>
  </si>
  <si>
    <t>Profit each Order</t>
  </si>
  <si>
    <t>Среднее по полю Order * Profit</t>
  </si>
  <si>
    <t>Названия столбцов</t>
  </si>
  <si>
    <t>Сумма по полю Order * Profit</t>
  </si>
  <si>
    <t>Сумма по полю Order * Profit2</t>
  </si>
  <si>
    <t>Summ Order Profit</t>
  </si>
  <si>
    <t>Costs each Order</t>
  </si>
  <si>
    <t>Среднее по полю Costs per Average Order</t>
  </si>
  <si>
    <t>Summ Costs per avg order</t>
  </si>
  <si>
    <t>Среднее из Labour cost, $</t>
  </si>
  <si>
    <t>Среднее из Labor costs per avg order</t>
  </si>
  <si>
    <t>Tables</t>
  </si>
  <si>
    <t>Seats at the table</t>
  </si>
  <si>
    <t>table for 4 person</t>
  </si>
  <si>
    <t>table for 2 person</t>
  </si>
  <si>
    <t>Hours opening per day (8-20)</t>
  </si>
  <si>
    <t>open</t>
  </si>
  <si>
    <t>close</t>
  </si>
  <si>
    <t>Hours inside</t>
  </si>
  <si>
    <t>Orders per day (one person/table)</t>
  </si>
  <si>
    <t>Summary order for all (one) persons/day</t>
  </si>
  <si>
    <t>Days working per month</t>
  </si>
  <si>
    <t>Revenue per month, $</t>
  </si>
  <si>
    <t>Revenue per year, $</t>
  </si>
  <si>
    <t>Profit per each order, $</t>
  </si>
  <si>
    <t>Gross profit, $, month</t>
  </si>
  <si>
    <t>Per month, $</t>
  </si>
  <si>
    <t>Per year, $</t>
  </si>
  <si>
    <t>Revenue</t>
  </si>
  <si>
    <t>Cost of goods sold</t>
  </si>
  <si>
    <t>Gross  profit margin, %</t>
  </si>
  <si>
    <t>Operating costs</t>
  </si>
  <si>
    <t>rent+utility costs</t>
  </si>
  <si>
    <t>salary for another personal</t>
  </si>
  <si>
    <t>marketing</t>
  </si>
  <si>
    <t>another costs (reserve)</t>
  </si>
  <si>
    <t>EBITDA</t>
  </si>
  <si>
    <t>Depreсiation</t>
  </si>
  <si>
    <t>60000$ CAPEX  (equipment and furniture)</t>
  </si>
  <si>
    <t xml:space="preserve">EBIT </t>
  </si>
  <si>
    <t>EBIT margin, %</t>
  </si>
  <si>
    <t>Taxes</t>
  </si>
  <si>
    <t>от 2,5% до 9,8%</t>
  </si>
  <si>
    <t>Net profit</t>
  </si>
  <si>
    <t>Net profit margin</t>
  </si>
  <si>
    <t>Метрика</t>
  </si>
  <si>
    <t>балльная оценка</t>
  </si>
  <si>
    <t>Cincinnati OH</t>
  </si>
  <si>
    <t>Columbus OH</t>
  </si>
  <si>
    <t>Indianapolis IN</t>
  </si>
  <si>
    <t>Cleveland OH</t>
  </si>
  <si>
    <t>Portland OR</t>
  </si>
  <si>
    <t>Birmingham AL</t>
  </si>
  <si>
    <t>Население города, тыс. чел.</t>
  </si>
  <si>
    <t>до 300 - 0 баллов
300 - 600 - 0,5 баллов
от 600 - 1 балл</t>
  </si>
  <si>
    <t>Доля населения от 18 до 35 лет, %</t>
  </si>
  <si>
    <t>до 25 - 0 баллов
25 - 30 - 0,5 баллов
от 30 - 1</t>
  </si>
  <si>
    <t>Median household income, тыс. долл</t>
  </si>
  <si>
    <t>до 50 - 0 баллов
50 - 70 - 0,5 баллов
от 70 - 1 балл</t>
  </si>
  <si>
    <t>Коэффициент концентрации на 1 кв. км</t>
  </si>
  <si>
    <t>до 0,3 - 0 баллов
0,4-0,6 - 1 балл
от 0,6 - 0,5 баллов</t>
  </si>
  <si>
    <t>Коэффициент концентрации на 1 тыс. чел.</t>
  </si>
  <si>
    <t>до 0,4 - 0 баллов
0,4-0,6 - 1 балл
от 0,6 - 0,5 баллов</t>
  </si>
  <si>
    <t>Order Profit</t>
  </si>
  <si>
    <t>до 1 - 0 баллов
1 - 3 - 0,5 баллов
от 3 - 1 балл</t>
  </si>
  <si>
    <t>Уровень преступности на 1 тыс. чел., %</t>
  </si>
  <si>
    <t>до 40 - 1 балл
40 - 50 - 0,5 баллов
от 50 - 0 баллов</t>
  </si>
  <si>
    <t>Информация для справки:</t>
  </si>
  <si>
    <t>Площадь города, кв. км</t>
  </si>
  <si>
    <t>Количество конкурентов</t>
  </si>
  <si>
    <t>Average Profit</t>
  </si>
  <si>
    <t>Cincinnati, OH</t>
  </si>
  <si>
    <t>Приоритет отрытия кафе</t>
  </si>
  <si>
    <t>Итого:</t>
  </si>
  <si>
    <t>Оценка 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</si>
</sst>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\ ##0.00_);_(* \(#\ ##0.00\);_(* &quot;-&quot;??_);_(@_)"/>
    <numFmt numFmtId="165" formatCode="_(&quot;$&quot;* #\ ##0.00_);_(&quot;$&quot;* \(#\ ##0.00\);_(&quot;$&quot;* &quot;-&quot;??_);_(@_)"/>
    <numFmt numFmtId="168" formatCode="0.0"/>
    <numFmt numFmtId="169" formatCode="_-[$$-409]* #\ ##0.00_ ;_-[$$-409]* \-#\ ##0.00\ ;_-[$$-409]* &quot;-&quot;??_ ;_-@_ "/>
    <numFmt numFmtId="170" formatCode="_(* #\ ##0_);_(* \(#\ ##0\);_(* &quot;-&quot;??_);_(@_)"/>
    <numFmt numFmtId="171" formatCode="#\ ##0.00"/>
    <numFmt numFmtId="172" formatCode="0.000"/>
    <numFmt numFmtId="173" formatCode="&quot;$&quot;#\ ##0.00"/>
  </numFmts>
  <fonts count="15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Times New Roman"/>
      <charset val="204"/>
    </font>
    <font>
      <sz val="10"/>
      <color theme="1"/>
      <name val="Calibri"/>
      <charset val="204"/>
      <scheme val="minor"/>
    </font>
    <font>
      <i/>
      <sz val="12"/>
      <color theme="1"/>
      <name val="Calibri"/>
      <charset val="134"/>
      <scheme val="minor"/>
    </font>
    <font>
      <i/>
      <sz val="10"/>
      <color theme="1"/>
      <name val="Calibri"/>
      <charset val="204"/>
      <scheme val="minor"/>
    </font>
    <font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0"/>
      <name val="Calibri"/>
      <charset val="204"/>
      <scheme val="minor"/>
    </font>
    <font>
      <sz val="12"/>
      <color theme="1"/>
      <name val="Calibri"/>
      <charset val="204"/>
    </font>
    <font>
      <b/>
      <sz val="24"/>
      <color theme="0"/>
      <name val="Calibri"/>
      <charset val="134"/>
      <scheme val="minor"/>
    </font>
    <font>
      <b/>
      <sz val="9"/>
      <name val="Tahoma"/>
      <charset val="204"/>
    </font>
    <font>
      <sz val="9"/>
      <name val="Tahoma"/>
      <charset val="204"/>
    </font>
    <font>
      <sz val="12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450666829432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29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168" fontId="2" fillId="0" borderId="0" xfId="0" applyNumberFormat="1" applyFont="1" applyFill="1" applyAlignment="1"/>
    <xf numFmtId="1" fontId="2" fillId="0" borderId="0" xfId="0" applyNumberFormat="1" applyFont="1" applyFill="1" applyAlignment="1"/>
    <xf numFmtId="0" fontId="1" fillId="0" borderId="0" xfId="0" applyFont="1" applyFill="1" applyAlignment="1">
      <alignment wrapText="1"/>
    </xf>
    <xf numFmtId="1" fontId="2" fillId="0" borderId="0" xfId="0" applyNumberFormat="1" applyFont="1" applyFill="1" applyAlignment="1">
      <alignment horizontal="center" vertical="center"/>
    </xf>
    <xf numFmtId="0" fontId="2" fillId="3" borderId="0" xfId="0" applyFont="1" applyFill="1" applyAlignment="1"/>
    <xf numFmtId="168" fontId="2" fillId="3" borderId="0" xfId="0" applyNumberFormat="1" applyFont="1" applyFill="1" applyAlignment="1"/>
    <xf numFmtId="1" fontId="2" fillId="3" borderId="0" xfId="0" applyNumberFormat="1" applyFont="1" applyFill="1" applyAlignment="1"/>
    <xf numFmtId="169" fontId="2" fillId="3" borderId="0" xfId="0" applyNumberFormat="1" applyFont="1" applyFill="1" applyAlignment="1"/>
    <xf numFmtId="2" fontId="2" fillId="0" borderId="0" xfId="0" applyNumberFormat="1" applyFont="1" applyFill="1" applyAlignment="1"/>
    <xf numFmtId="168" fontId="1" fillId="0" borderId="0" xfId="0" applyNumberFormat="1" applyFont="1" applyFill="1" applyAlignment="1"/>
    <xf numFmtId="2" fontId="1" fillId="0" borderId="0" xfId="0" applyNumberFormat="1" applyFont="1" applyFill="1" applyAlignme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left" indent="1"/>
    </xf>
    <xf numFmtId="0" fontId="5" fillId="0" borderId="1" xfId="0" applyFont="1" applyBorder="1" applyAlignment="1">
      <alignment horizontal="right"/>
    </xf>
    <xf numFmtId="0" fontId="3" fillId="0" borderId="1" xfId="0" applyFont="1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Border="1"/>
    <xf numFmtId="0" fontId="0" fillId="0" borderId="0" xfId="0" applyFill="1" applyBorder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164" fontId="0" fillId="0" borderId="1" xfId="1" applyFont="1" applyBorder="1"/>
    <xf numFmtId="164" fontId="0" fillId="0" borderId="1" xfId="0" applyNumberFormat="1" applyBorder="1"/>
    <xf numFmtId="164" fontId="0" fillId="0" borderId="1" xfId="1" applyBorder="1"/>
    <xf numFmtId="0" fontId="6" fillId="0" borderId="1" xfId="0" applyFont="1" applyBorder="1"/>
    <xf numFmtId="0" fontId="7" fillId="2" borderId="1" xfId="0" applyFont="1" applyFill="1" applyBorder="1"/>
    <xf numFmtId="170" fontId="0" fillId="0" borderId="1" xfId="0" applyNumberFormat="1" applyBorder="1"/>
    <xf numFmtId="0" fontId="4" fillId="0" borderId="1" xfId="0" applyFont="1" applyBorder="1"/>
    <xf numFmtId="9" fontId="4" fillId="0" borderId="1" xfId="3" applyFont="1" applyBorder="1"/>
    <xf numFmtId="0" fontId="0" fillId="0" borderId="1" xfId="0" applyBorder="1" applyAlignment="1">
      <alignment horizontal="left" indent="1"/>
    </xf>
    <xf numFmtId="170" fontId="0" fillId="0" borderId="1" xfId="1" applyNumberFormat="1" applyBorder="1"/>
    <xf numFmtId="9" fontId="0" fillId="0" borderId="0" xfId="3"/>
    <xf numFmtId="0" fontId="0" fillId="0" borderId="0" xfId="0" applyAlignment="1">
      <alignment horizontal="left"/>
    </xf>
    <xf numFmtId="169" fontId="0" fillId="0" borderId="0" xfId="0" applyNumberFormat="1"/>
    <xf numFmtId="9" fontId="0" fillId="0" borderId="0" xfId="0" applyNumberFormat="1"/>
    <xf numFmtId="171" fontId="0" fillId="0" borderId="0" xfId="0" applyNumberFormat="1"/>
    <xf numFmtId="10" fontId="0" fillId="0" borderId="0" xfId="0" applyNumberFormat="1" applyFill="1"/>
    <xf numFmtId="2" fontId="0" fillId="0" borderId="0" xfId="0" applyNumberFormat="1" applyFill="1"/>
    <xf numFmtId="2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172" fontId="0" fillId="0" borderId="0" xfId="0" applyNumberFormat="1"/>
    <xf numFmtId="0" fontId="7" fillId="6" borderId="2" xfId="0" applyFont="1" applyFill="1" applyBorder="1"/>
    <xf numFmtId="2" fontId="0" fillId="0" borderId="1" xfId="0" applyNumberFormat="1" applyBorder="1"/>
    <xf numFmtId="2" fontId="0" fillId="2" borderId="1" xfId="0" applyNumberFormat="1" applyFill="1" applyBorder="1"/>
    <xf numFmtId="164" fontId="0" fillId="0" borderId="0" xfId="1"/>
    <xf numFmtId="0" fontId="0" fillId="5" borderId="0" xfId="0" applyFill="1"/>
    <xf numFmtId="0" fontId="0" fillId="5" borderId="0" xfId="0" applyFill="1" applyAlignment="1">
      <alignment horizontal="center"/>
    </xf>
    <xf numFmtId="169" fontId="0" fillId="5" borderId="0" xfId="3" applyNumberFormat="1" applyFont="1" applyFill="1"/>
    <xf numFmtId="0" fontId="0" fillId="0" borderId="0" xfId="0" applyFill="1"/>
    <xf numFmtId="0" fontId="8" fillId="7" borderId="0" xfId="0" applyFont="1" applyFill="1"/>
    <xf numFmtId="0" fontId="8" fillId="7" borderId="0" xfId="0" applyFont="1" applyFill="1" applyAlignment="1">
      <alignment horizontal="center"/>
    </xf>
    <xf numFmtId="165" fontId="0" fillId="5" borderId="0" xfId="2" applyFont="1" applyFill="1"/>
    <xf numFmtId="9" fontId="0" fillId="5" borderId="0" xfId="3" applyFont="1" applyFill="1"/>
    <xf numFmtId="1" fontId="0" fillId="5" borderId="0" xfId="0" applyNumberFormat="1" applyFill="1"/>
    <xf numFmtId="2" fontId="0" fillId="5" borderId="0" xfId="0" applyNumberFormat="1" applyFill="1"/>
    <xf numFmtId="169" fontId="8" fillId="7" borderId="0" xfId="3" applyNumberFormat="1" applyFont="1" applyFill="1"/>
    <xf numFmtId="169" fontId="9" fillId="7" borderId="0" xfId="3" applyNumberFormat="1" applyFont="1" applyFill="1"/>
    <xf numFmtId="173" fontId="10" fillId="8" borderId="3" xfId="0" applyNumberFormat="1" applyFont="1" applyFill="1" applyBorder="1"/>
    <xf numFmtId="9" fontId="10" fillId="8" borderId="0" xfId="3" applyFont="1" applyFill="1" applyBorder="1"/>
    <xf numFmtId="173" fontId="10" fillId="8" borderId="0" xfId="0" applyNumberFormat="1" applyFont="1" applyFill="1"/>
    <xf numFmtId="173" fontId="0" fillId="5" borderId="0" xfId="0" applyNumberFormat="1" applyFill="1"/>
    <xf numFmtId="169" fontId="0" fillId="5" borderId="0" xfId="0" applyNumberFormat="1" applyFill="1"/>
    <xf numFmtId="0" fontId="8" fillId="7" borderId="7" xfId="0" applyFont="1" applyFill="1" applyBorder="1"/>
    <xf numFmtId="0" fontId="8" fillId="7" borderId="8" xfId="0" applyFont="1" applyFill="1" applyBorder="1"/>
    <xf numFmtId="0" fontId="8" fillId="7" borderId="9" xfId="0" applyFont="1" applyFill="1" applyBorder="1"/>
    <xf numFmtId="9" fontId="0" fillId="5" borderId="0" xfId="3" applyNumberFormat="1" applyFont="1" applyFill="1"/>
    <xf numFmtId="169" fontId="0" fillId="5" borderId="10" xfId="0" applyNumberFormat="1" applyFill="1" applyBorder="1"/>
    <xf numFmtId="169" fontId="0" fillId="5" borderId="0" xfId="0" applyNumberFormat="1" applyFill="1" applyBorder="1"/>
    <xf numFmtId="169" fontId="0" fillId="5" borderId="11" xfId="0" applyNumberFormat="1" applyFill="1" applyBorder="1"/>
    <xf numFmtId="9" fontId="0" fillId="5" borderId="0" xfId="3" applyNumberFormat="1" applyFont="1" applyFill="1" applyBorder="1"/>
    <xf numFmtId="169" fontId="0" fillId="5" borderId="12" xfId="0" applyNumberFormat="1" applyFill="1" applyBorder="1"/>
    <xf numFmtId="169" fontId="0" fillId="5" borderId="13" xfId="0" applyNumberFormat="1" applyFill="1" applyBorder="1"/>
    <xf numFmtId="169" fontId="0" fillId="5" borderId="14" xfId="0" applyNumberFormat="1" applyFill="1" applyBorder="1"/>
    <xf numFmtId="0" fontId="8" fillId="7" borderId="15" xfId="0" applyFont="1" applyFill="1" applyBorder="1"/>
    <xf numFmtId="169" fontId="0" fillId="5" borderId="16" xfId="0" applyNumberFormat="1" applyFill="1" applyBorder="1"/>
    <xf numFmtId="169" fontId="0" fillId="5" borderId="17" xfId="0" applyNumberFormat="1" applyFill="1" applyBorder="1"/>
    <xf numFmtId="0" fontId="0" fillId="10" borderId="0" xfId="0" applyFill="1" applyAlignment="1">
      <alignment vertical="center"/>
    </xf>
    <xf numFmtId="0" fontId="0" fillId="10" borderId="0" xfId="0" applyFill="1"/>
    <xf numFmtId="0" fontId="8" fillId="5" borderId="0" xfId="0" applyFont="1" applyFill="1"/>
    <xf numFmtId="171" fontId="0" fillId="5" borderId="0" xfId="1" applyNumberFormat="1" applyFont="1" applyFill="1"/>
    <xf numFmtId="0" fontId="0" fillId="5" borderId="0" xfId="0" applyFill="1" applyAlignment="1">
      <alignment horizontal="left"/>
    </xf>
    <xf numFmtId="165" fontId="0" fillId="10" borderId="0" xfId="2" applyFont="1" applyFill="1"/>
    <xf numFmtId="165" fontId="0" fillId="10" borderId="0" xfId="0" applyNumberFormat="1" applyFill="1"/>
    <xf numFmtId="165" fontId="0" fillId="5" borderId="0" xfId="0" applyNumberFormat="1" applyFill="1"/>
    <xf numFmtId="0" fontId="0" fillId="10" borderId="0" xfId="0" applyFill="1" applyAlignment="1">
      <alignment horizontal="center"/>
    </xf>
    <xf numFmtId="0" fontId="11" fillId="9" borderId="0" xfId="0" applyFont="1" applyFill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168" fontId="2" fillId="0" borderId="1" xfId="0" applyNumberFormat="1" applyFont="1" applyFill="1" applyBorder="1" applyAlignment="1">
      <alignment horizontal="right"/>
    </xf>
    <xf numFmtId="168" fontId="2" fillId="0" borderId="1" xfId="3" applyNumberFormat="1" applyFont="1" applyBorder="1" applyAlignment="1">
      <alignment horizontal="right"/>
    </xf>
    <xf numFmtId="168" fontId="2" fillId="0" borderId="1" xfId="0" applyNumberFormat="1" applyFont="1" applyFill="1" applyBorder="1" applyAlignment="1"/>
    <xf numFmtId="168" fontId="2" fillId="0" borderId="22" xfId="0" applyNumberFormat="1" applyFont="1" applyFill="1" applyBorder="1" applyAlignment="1">
      <alignment horizontal="right"/>
    </xf>
    <xf numFmtId="168" fontId="2" fillId="0" borderId="22" xfId="0" applyNumberFormat="1" applyFont="1" applyFill="1" applyBorder="1" applyAlignment="1"/>
    <xf numFmtId="0" fontId="2" fillId="0" borderId="6" xfId="0" applyFont="1" applyFill="1" applyBorder="1" applyAlignment="1">
      <alignment vertical="top" wrapText="1"/>
    </xf>
    <xf numFmtId="0" fontId="2" fillId="0" borderId="6" xfId="0" applyFont="1" applyFill="1" applyBorder="1" applyAlignment="1">
      <alignment wrapText="1"/>
    </xf>
    <xf numFmtId="0" fontId="2" fillId="0" borderId="27" xfId="0" applyFont="1" applyFill="1" applyBorder="1" applyAlignment="1">
      <alignment vertical="top"/>
    </xf>
    <xf numFmtId="0" fontId="2" fillId="0" borderId="27" xfId="0" applyFont="1" applyFill="1" applyBorder="1" applyAlignment="1"/>
    <xf numFmtId="0" fontId="1" fillId="13" borderId="18" xfId="0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0" xfId="0" applyFont="1" applyFill="1" applyBorder="1" applyAlignment="1">
      <alignment horizontal="center"/>
    </xf>
    <xf numFmtId="0" fontId="2" fillId="13" borderId="17" xfId="0" applyFont="1" applyFill="1" applyBorder="1" applyAlignment="1"/>
    <xf numFmtId="0" fontId="2" fillId="13" borderId="21" xfId="0" applyFont="1" applyFill="1" applyBorder="1" applyAlignment="1"/>
    <xf numFmtId="0" fontId="2" fillId="13" borderId="26" xfId="0" applyFont="1" applyFill="1" applyBorder="1" applyAlignment="1"/>
    <xf numFmtId="0" fontId="2" fillId="13" borderId="14" xfId="0" applyFont="1" applyFill="1" applyBorder="1" applyAlignment="1"/>
    <xf numFmtId="0" fontId="2" fillId="11" borderId="27" xfId="0" applyFont="1" applyFill="1" applyBorder="1" applyAlignment="1"/>
    <xf numFmtId="168" fontId="2" fillId="11" borderId="1" xfId="0" applyNumberFormat="1" applyFont="1" applyFill="1" applyBorder="1" applyAlignment="1"/>
    <xf numFmtId="168" fontId="2" fillId="11" borderId="22" xfId="0" applyNumberFormat="1" applyFont="1" applyFill="1" applyBorder="1" applyAlignment="1"/>
    <xf numFmtId="0" fontId="2" fillId="11" borderId="6" xfId="0" applyFont="1" applyFill="1" applyBorder="1" applyAlignment="1">
      <alignment wrapText="1"/>
    </xf>
    <xf numFmtId="0" fontId="2" fillId="12" borderId="28" xfId="0" applyFont="1" applyFill="1" applyBorder="1" applyAlignment="1"/>
    <xf numFmtId="0" fontId="2" fillId="12" borderId="25" xfId="0" applyFont="1" applyFill="1" applyBorder="1" applyAlignment="1">
      <alignment wrapText="1"/>
    </xf>
    <xf numFmtId="1" fontId="2" fillId="12" borderId="23" xfId="0" applyNumberFormat="1" applyFont="1" applyFill="1" applyBorder="1" applyAlignment="1"/>
    <xf numFmtId="1" fontId="2" fillId="12" borderId="24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168" fontId="2" fillId="0" borderId="1" xfId="3" applyNumberFormat="1" applyFont="1" applyBorder="1" applyAlignment="1"/>
    <xf numFmtId="169" fontId="2" fillId="0" borderId="1" xfId="0" applyNumberFormat="1" applyFont="1" applyFill="1" applyBorder="1" applyAlignment="1"/>
    <xf numFmtId="2" fontId="2" fillId="0" borderId="1" xfId="0" applyNumberFormat="1" applyFont="1" applyFill="1" applyBorder="1" applyAlignment="1"/>
  </cellXfs>
  <cellStyles count="4">
    <cellStyle name="Денежный" xfId="2" builtinId="4"/>
    <cellStyle name="Обычный" xfId="0" builtinId="0"/>
    <cellStyle name="Процентный" xfId="3" builtinId="5"/>
    <cellStyle name="Финансовый" xfId="1" builtinId="3"/>
  </cellStyles>
  <dxfs count="37">
    <dxf>
      <font>
        <color rgb="FF9C0006"/>
      </font>
      <fill>
        <patternFill patternType="solid">
          <bgColor rgb="FFFFC7CE"/>
        </patternFill>
      </fill>
    </dxf>
    <dxf>
      <numFmt numFmtId="171" formatCode="#\ ##0.00"/>
    </dxf>
    <dxf>
      <numFmt numFmtId="169" formatCode="_-[$$-409]* #\ ##0.00_ ;_-[$$-409]* \-#\ ##0.00\ ;_-[$$-409]* &quot;-&quot;??_ ;_-@_ "/>
    </dxf>
    <dxf>
      <numFmt numFmtId="13" formatCode="0%"/>
    </dxf>
    <dxf>
      <numFmt numFmtId="171" formatCode="#\ ##0.00"/>
    </dxf>
    <dxf>
      <numFmt numFmtId="164" formatCode="_(* #\ ##0.00_);_(* \(#\ ##0.00\);_(* &quot;-&quot;??_);_(@_)"/>
    </dxf>
    <dxf>
      <numFmt numFmtId="2" formatCode="0.00"/>
    </dxf>
    <dxf>
      <numFmt numFmtId="169" formatCode="_-[$$-409]* #\ ##0.00_ ;_-[$$-409]* \-#\ ##0.00\ ;_-[$$-409]* &quot;-&quot;??_ ;_-@_ "/>
    </dxf>
    <dxf>
      <numFmt numFmtId="2" formatCode="0.00"/>
    </dxf>
    <dxf>
      <numFmt numFmtId="14" formatCode="0.00%"/>
    </dxf>
    <dxf>
      <fill>
        <patternFill patternType="none"/>
      </fill>
    </dxf>
    <dxf>
      <numFmt numFmtId="172" formatCode="0.000"/>
    </dxf>
    <dxf>
      <numFmt numFmtId="171" formatCode="#\ ##0.00"/>
    </dxf>
    <dxf>
      <numFmt numFmtId="173" formatCode="&quot;$&quot;#\ ##0.00"/>
    </dxf>
    <dxf>
      <numFmt numFmtId="173" formatCode="&quot;$&quot;#\ ##0.00"/>
    </dxf>
    <dxf>
      <numFmt numFmtId="173" formatCode="&quot;$&quot;#\ ##0.00"/>
      <fill>
        <patternFill patternType="solid">
          <fgColor theme="0"/>
          <bgColor theme="0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173" formatCode="&quot;$&quot;#\ ##0.00"/>
      <fill>
        <patternFill patternType="solid">
          <fgColor theme="0"/>
          <bgColor theme="0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u val="none"/>
        <sz val="12"/>
        <color theme="1"/>
        <name val="Calibri"/>
        <scheme val="none"/>
      </font>
      <numFmt numFmtId="173" formatCode="&quot;$&quot;#\ ##0.00"/>
      <fill>
        <patternFill patternType="solid">
          <fgColor theme="0"/>
          <bgColor theme="0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b val="0"/>
        <i val="0"/>
        <strike val="0"/>
        <u val="none"/>
        <sz val="12"/>
        <color theme="1"/>
        <name val="Calibri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2"/>
        <color theme="1"/>
        <name val="Calibri"/>
        <scheme val="none"/>
      </font>
      <fill>
        <patternFill patternType="solid">
          <fgColor theme="0"/>
          <bgColor theme="0"/>
        </patternFill>
      </fill>
    </dxf>
    <dxf>
      <font>
        <b val="0"/>
        <i val="0"/>
        <strike val="0"/>
        <u val="none"/>
        <sz val="12"/>
        <color theme="1"/>
        <name val="Calibri"/>
        <scheme val="none"/>
      </font>
      <numFmt numFmtId="173" formatCode="&quot;$&quot;#\ ##0.00"/>
      <fill>
        <patternFill patternType="solid">
          <fgColor theme="0"/>
          <bgColor theme="0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2" formatCode="0.00"/>
      <fill>
        <patternFill patternType="solid">
          <bgColor theme="0"/>
        </patternFill>
      </fill>
    </dxf>
    <dxf>
      <numFmt numFmtId="2" formatCode="0.00"/>
      <fill>
        <patternFill patternType="solid">
          <bgColor theme="0"/>
        </patternFill>
      </fill>
    </dxf>
    <dxf>
      <numFmt numFmtId="1" formatCode="0"/>
      <fill>
        <patternFill patternType="solid">
          <bgColor theme="0"/>
        </patternFill>
      </fill>
    </dxf>
    <dxf>
      <font>
        <b val="0"/>
        <i val="0"/>
        <strike val="0"/>
        <u val="none"/>
        <sz val="12"/>
        <color theme="1"/>
        <name val="Calibri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2"/>
        <color theme="1"/>
        <name val="Calibri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2"/>
        <color theme="1"/>
        <name val="Calibri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2"/>
        <color theme="1"/>
        <name val="Calibri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2"/>
        <color theme="1"/>
        <name val="Calibri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2"/>
        <color theme="1"/>
        <name val="Calibri"/>
        <scheme val="none"/>
      </font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 val="0"/>
        <i val="0"/>
        <strike val="0"/>
        <u val="none"/>
        <sz val="12"/>
        <color theme="1"/>
        <name val="Calibri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u val="none"/>
        <sz val="12"/>
        <color theme="1"/>
        <name val="Calibri"/>
        <scheme val="none"/>
      </font>
      <numFmt numFmtId="165" formatCode="_(&quot;$&quot;* #\ ##0.00_);_(&quot;$&quot;* \(#\ ##0.00\);_(&quot;$&quot;* &quot;-&quot;??_);_(@_)"/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  <alignment horizontal="center"/>
    </dxf>
    <dxf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FFF7B2AB"/>
      <color rgb="FFFF5B5B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order structure,$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'Mean order price'!$Q$2</c:f>
              <c:strCache>
                <c:ptCount val="1"/>
                <c:pt idx="0">
                  <c:v>Appetizer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'Mean order price'!$B$3:$B$10</c:f>
              <c:strCache>
                <c:ptCount val="8"/>
                <c:pt idx="0">
                  <c:v>Columbus</c:v>
                </c:pt>
                <c:pt idx="1">
                  <c:v>Cincinnati</c:v>
                </c:pt>
                <c:pt idx="2">
                  <c:v>Cleveland</c:v>
                </c:pt>
                <c:pt idx="3">
                  <c:v>Las Vegas</c:v>
                </c:pt>
                <c:pt idx="4">
                  <c:v>Miami</c:v>
                </c:pt>
                <c:pt idx="5">
                  <c:v>Indianapolis</c:v>
                </c:pt>
                <c:pt idx="6">
                  <c:v>Birmingham</c:v>
                </c:pt>
                <c:pt idx="7">
                  <c:v>Portland</c:v>
                </c:pt>
              </c:strCache>
            </c:strRef>
          </c:cat>
          <c:val>
            <c:numRef>
              <c:f>'Mean order price'!$Q$3:$Q$10</c:f>
              <c:numCache>
                <c:formatCode>_-[$$-409]* #\ ##0.00_ ;_-[$$-409]* \-#\ ##0.00\ ;_-[$$-409]* "-"??_ ;_-@_ </c:formatCode>
                <c:ptCount val="8"/>
                <c:pt idx="0">
                  <c:v>0.8571428571428571</c:v>
                </c:pt>
                <c:pt idx="1">
                  <c:v>1.6500000000000001</c:v>
                </c:pt>
                <c:pt idx="2">
                  <c:v>1.2571428571428571</c:v>
                </c:pt>
                <c:pt idx="3">
                  <c:v>1.4142857142857146</c:v>
                </c:pt>
                <c:pt idx="4">
                  <c:v>1.3571428571428572</c:v>
                </c:pt>
                <c:pt idx="5">
                  <c:v>0.91428571428571426</c:v>
                </c:pt>
                <c:pt idx="6">
                  <c:v>0.57142857142857151</c:v>
                </c:pt>
                <c:pt idx="7">
                  <c:v>1.4000000000000001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3-43CD-B657-B334B9A6591A}"/>
            </c:ext>
          </c:extLst>
        </c:ser>
        <c:ser>
          <c:idx val="1"/>
          <c:order val="1"/>
          <c:tx>
            <c:strRef>
              <c:f>'Mean order price'!$R$2</c:f>
              <c:strCache>
                <c:ptCount val="1"/>
                <c:pt idx="0">
                  <c:v>Entry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'Mean order price'!$B$3:$B$10</c:f>
              <c:strCache>
                <c:ptCount val="8"/>
                <c:pt idx="0">
                  <c:v>Columbus</c:v>
                </c:pt>
                <c:pt idx="1">
                  <c:v>Cincinnati</c:v>
                </c:pt>
                <c:pt idx="2">
                  <c:v>Cleveland</c:v>
                </c:pt>
                <c:pt idx="3">
                  <c:v>Las Vegas</c:v>
                </c:pt>
                <c:pt idx="4">
                  <c:v>Miami</c:v>
                </c:pt>
                <c:pt idx="5">
                  <c:v>Indianapolis</c:v>
                </c:pt>
                <c:pt idx="6">
                  <c:v>Birmingham</c:v>
                </c:pt>
                <c:pt idx="7">
                  <c:v>Portland</c:v>
                </c:pt>
              </c:strCache>
            </c:strRef>
          </c:cat>
          <c:val>
            <c:numRef>
              <c:f>'Mean order price'!$R$3:$R$10</c:f>
              <c:numCache>
                <c:formatCode>_-[$$-409]* #\ ##0.00_ ;_-[$$-409]* \-#\ ##0.00\ ;_-[$$-409]* "-"??_ ;_-@_ </c:formatCode>
                <c:ptCount val="8"/>
                <c:pt idx="0">
                  <c:v>2.640000000000001</c:v>
                </c:pt>
                <c:pt idx="1">
                  <c:v>3.0240000000000005</c:v>
                </c:pt>
                <c:pt idx="2">
                  <c:v>4.4880000000000004</c:v>
                </c:pt>
                <c:pt idx="3">
                  <c:v>3.8880000000000003</c:v>
                </c:pt>
                <c:pt idx="4">
                  <c:v>3.8760000000000003</c:v>
                </c:pt>
                <c:pt idx="5">
                  <c:v>2.3039999999999998</c:v>
                </c:pt>
                <c:pt idx="6">
                  <c:v>3.120000000000001</c:v>
                </c:pt>
                <c:pt idx="7">
                  <c:v>5.3760000000000012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3-43CD-B657-B334B9A6591A}"/>
            </c:ext>
          </c:extLst>
        </c:ser>
        <c:ser>
          <c:idx val="2"/>
          <c:order val="2"/>
          <c:tx>
            <c:strRef>
              <c:f>'Mean order price'!$S$2</c:f>
              <c:strCache>
                <c:ptCount val="1"/>
                <c:pt idx="0">
                  <c:v>Dessert</c:v>
                </c:pt>
              </c:strCache>
            </c:strRef>
          </c:tx>
          <c:spPr>
            <a:solidFill>
              <a:srgbClr val="FF5B5B"/>
            </a:solidFill>
            <a:ln>
              <a:noFill/>
            </a:ln>
            <a:effectLst/>
          </c:spPr>
          <c:invertIfNegative val="0"/>
          <c:cat>
            <c:strRef>
              <c:f>'Mean order price'!$B$3:$B$10</c:f>
              <c:strCache>
                <c:ptCount val="8"/>
                <c:pt idx="0">
                  <c:v>Columbus</c:v>
                </c:pt>
                <c:pt idx="1">
                  <c:v>Cincinnati</c:v>
                </c:pt>
                <c:pt idx="2">
                  <c:v>Cleveland</c:v>
                </c:pt>
                <c:pt idx="3">
                  <c:v>Las Vegas</c:v>
                </c:pt>
                <c:pt idx="4">
                  <c:v>Miami</c:v>
                </c:pt>
                <c:pt idx="5">
                  <c:v>Indianapolis</c:v>
                </c:pt>
                <c:pt idx="6">
                  <c:v>Birmingham</c:v>
                </c:pt>
                <c:pt idx="7">
                  <c:v>Portland</c:v>
                </c:pt>
              </c:strCache>
            </c:strRef>
          </c:cat>
          <c:val>
            <c:numRef>
              <c:f>'Mean order price'!$S$3:$S$10</c:f>
              <c:numCache>
                <c:formatCode>_-[$$-409]* #\ ##0.00_ ;_-[$$-409]* \-#\ ##0.00\ ;_-[$$-409]* "-"??_ ;_-@_ </c:formatCode>
                <c:ptCount val="8"/>
                <c:pt idx="0">
                  <c:v>1.1666666666666667</c:v>
                </c:pt>
                <c:pt idx="1">
                  <c:v>1.4000000000000001</c:v>
                </c:pt>
                <c:pt idx="2">
                  <c:v>2.0166666666666666</c:v>
                </c:pt>
                <c:pt idx="3">
                  <c:v>2.0999999999999996</c:v>
                </c:pt>
                <c:pt idx="4">
                  <c:v>2.5333333333333332</c:v>
                </c:pt>
                <c:pt idx="5">
                  <c:v>1.7333333333333334</c:v>
                </c:pt>
                <c:pt idx="6">
                  <c:v>1.5</c:v>
                </c:pt>
                <c:pt idx="7">
                  <c:v>2.3333333333333335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3-43CD-B657-B334B9A6591A}"/>
            </c:ext>
          </c:extLst>
        </c:ser>
        <c:ser>
          <c:idx val="3"/>
          <c:order val="3"/>
          <c:tx>
            <c:strRef>
              <c:f>'Mean order price'!$T$2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rgbClr val="F7B2AB"/>
            </a:solidFill>
            <a:ln>
              <a:noFill/>
            </a:ln>
            <a:effectLst/>
          </c:spPr>
          <c:invertIfNegative val="0"/>
          <c:cat>
            <c:strRef>
              <c:f>'Mean order price'!$B$3:$B$10</c:f>
              <c:strCache>
                <c:ptCount val="8"/>
                <c:pt idx="0">
                  <c:v>Columbus</c:v>
                </c:pt>
                <c:pt idx="1">
                  <c:v>Cincinnati</c:v>
                </c:pt>
                <c:pt idx="2">
                  <c:v>Cleveland</c:v>
                </c:pt>
                <c:pt idx="3">
                  <c:v>Las Vegas</c:v>
                </c:pt>
                <c:pt idx="4">
                  <c:v>Miami</c:v>
                </c:pt>
                <c:pt idx="5">
                  <c:v>Indianapolis</c:v>
                </c:pt>
                <c:pt idx="6">
                  <c:v>Birmingham</c:v>
                </c:pt>
                <c:pt idx="7">
                  <c:v>Portland</c:v>
                </c:pt>
              </c:strCache>
            </c:strRef>
          </c:cat>
          <c:val>
            <c:numRef>
              <c:f>'Mean order price'!$T$3:$T$10</c:f>
              <c:numCache>
                <c:formatCode>_-[$$-409]* #\ ##0.00_ ;_-[$$-409]* \-#\ ##0.00\ ;_-[$$-409]* "-"??_ ;_-@_ </c:formatCode>
                <c:ptCount val="8"/>
                <c:pt idx="0">
                  <c:v>1.7777777777777779</c:v>
                </c:pt>
                <c:pt idx="1">
                  <c:v>1.8666666666666669</c:v>
                </c:pt>
                <c:pt idx="2">
                  <c:v>1.8333333333333335</c:v>
                </c:pt>
                <c:pt idx="3">
                  <c:v>1.8000000000000005</c:v>
                </c:pt>
                <c:pt idx="4">
                  <c:v>2.0055555555555555</c:v>
                </c:pt>
                <c:pt idx="5">
                  <c:v>1.4222222222222223</c:v>
                </c:pt>
                <c:pt idx="6">
                  <c:v>1.6666666666666667</c:v>
                </c:pt>
                <c:pt idx="7">
                  <c:v>2.9555555555555553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93-43CD-B657-B334B9A65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056622607"/>
        <c:axId val="1891454863"/>
      </c:barChart>
      <c:lineChart>
        <c:grouping val="standard"/>
        <c:varyColors val="0"/>
        <c:ser>
          <c:idx val="4"/>
          <c:order val="4"/>
          <c:tx>
            <c:strRef>
              <c:f>'Mean order price'!$V$2</c:f>
              <c:strCache>
                <c:ptCount val="1"/>
                <c:pt idx="0">
                  <c:v>Mean order, $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9284776902887198E-2"/>
                  <c:y val="0.121925724657643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93-43CD-B657-B334B9A6591A}"/>
                </c:ext>
              </c:extLst>
            </c:dLbl>
            <c:dLbl>
              <c:idx val="1"/>
              <c:layout>
                <c:manualLayout>
                  <c:x val="-5.2062554680664903E-2"/>
                  <c:y val="6.99446343141313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93-43CD-B657-B334B9A6591A}"/>
                </c:ext>
              </c:extLst>
            </c:dLbl>
            <c:dLbl>
              <c:idx val="5"/>
              <c:layout>
                <c:manualLayout>
                  <c:x val="-5.2062554680664903E-2"/>
                  <c:y val="0.117927179246604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D93-43CD-B657-B334B9A6591A}"/>
                </c:ext>
              </c:extLst>
            </c:dLbl>
            <c:dLbl>
              <c:idx val="6"/>
              <c:layout>
                <c:manualLayout>
                  <c:x val="-5.2062554680665001E-2"/>
                  <c:y val="0.105931543013485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93-43CD-B657-B334B9A6591A}"/>
                </c:ext>
              </c:extLst>
            </c:dLbl>
            <c:dLbl>
              <c:idx val="7"/>
              <c:layout>
                <c:manualLayout>
                  <c:x val="-5.3930883639545103E-2"/>
                  <c:y val="-1.002627390665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93-43CD-B657-B334B9A6591A}"/>
                </c:ext>
              </c:extLst>
            </c:dLbl>
            <c:numFmt formatCode="[$$-409]#\ 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1">
                <a:spAutoFit/>
              </a:bodyPr>
              <a:lstStyle/>
              <a:p>
                <a:pPr>
                  <a:defRPr lang="ru-RU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'Mean order price'!$V$3:$V$10</c:f>
              <c:numCache>
                <c:formatCode>_-[$$-409]* #\ ##0.00_ ;_-[$$-409]* \-#\ ##0.00\ ;_-[$$-409]* "-"??_ ;_-@_ </c:formatCode>
                <c:ptCount val="8"/>
                <c:pt idx="0">
                  <c:v>6.4415873015873029</c:v>
                </c:pt>
                <c:pt idx="1">
                  <c:v>7.9406666666666679</c:v>
                </c:pt>
                <c:pt idx="2">
                  <c:v>9.5951428571428572</c:v>
                </c:pt>
                <c:pt idx="3">
                  <c:v>9.2022857142857148</c:v>
                </c:pt>
                <c:pt idx="4">
                  <c:v>9.7720317460317467</c:v>
                </c:pt>
                <c:pt idx="5">
                  <c:v>6.3738412698412699</c:v>
                </c:pt>
                <c:pt idx="6">
                  <c:v>6.8580952380952391</c:v>
                </c:pt>
                <c:pt idx="7">
                  <c:v>12.064888888888891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93-43CD-B657-B334B9A65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159919"/>
        <c:axId val="1483671903"/>
      </c:lineChart>
      <c:catAx>
        <c:axId val="205662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454863"/>
        <c:crosses val="autoZero"/>
        <c:auto val="1"/>
        <c:lblAlgn val="ctr"/>
        <c:lblOffset val="100"/>
        <c:noMultiLvlLbl val="0"/>
      </c:catAx>
      <c:valAx>
        <c:axId val="1891454863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622607"/>
        <c:crosses val="autoZero"/>
        <c:crossBetween val="between"/>
      </c:valAx>
      <c:catAx>
        <c:axId val="886159919"/>
        <c:scaling>
          <c:orientation val="minMax"/>
        </c:scaling>
        <c:delete val="1"/>
        <c:axPos val="b"/>
        <c:majorTickMark val="out"/>
        <c:minorTickMark val="none"/>
        <c:tickLblPos val="nextTo"/>
        <c:crossAx val="1483671903"/>
        <c:crosses val="autoZero"/>
        <c:auto val="1"/>
        <c:lblAlgn val="ctr"/>
        <c:lblOffset val="100"/>
        <c:noMultiLvlLbl val="0"/>
      </c:catAx>
      <c:valAx>
        <c:axId val="1483671903"/>
        <c:scaling>
          <c:orientation val="minMax"/>
          <c:min val="-20"/>
        </c:scaling>
        <c:delete val="0"/>
        <c:axPos val="r"/>
        <c:numFmt formatCode="_-[$$-409]* #\ ##0.00_ ;_-[$$-409]* \-#\ ##0.00\ ;_-[$$-409]* &quot;-&quot;??_ ;_-@_ 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5991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ebb7b5-3826-4dff-a755-83eec70aa4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[CL-DA-Project_2-Unit_economy-NEW5.xlsx]Pivot tables!Сводная таблица5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ru-RU"/>
              <a:t>Profit per order by category, 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tables'!$H$17:$H$18</c:f>
              <c:strCache>
                <c:ptCount val="1"/>
                <c:pt idx="0">
                  <c:v>Appetizer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tables'!$G$19:$G$27</c:f>
              <c:strCache>
                <c:ptCount val="8"/>
                <c:pt idx="0">
                  <c:v>Birmingham</c:v>
                </c:pt>
                <c:pt idx="1">
                  <c:v>Cincinnati</c:v>
                </c:pt>
                <c:pt idx="2">
                  <c:v>Cleveland</c:v>
                </c:pt>
                <c:pt idx="3">
                  <c:v>Columbus</c:v>
                </c:pt>
                <c:pt idx="4">
                  <c:v>Indianapolis</c:v>
                </c:pt>
                <c:pt idx="5">
                  <c:v>Las Vegas</c:v>
                </c:pt>
                <c:pt idx="6">
                  <c:v>Miami</c:v>
                </c:pt>
                <c:pt idx="7">
                  <c:v>Portland</c:v>
                </c:pt>
              </c:strCache>
            </c:strRef>
          </c:cat>
          <c:val>
            <c:numRef>
              <c:f>'Pivot tables'!$H$19:$H$27</c:f>
              <c:numCache>
                <c:formatCode>0.00</c:formatCode>
                <c:ptCount val="8"/>
                <c:pt idx="0">
                  <c:v>5.9305714285714302E-2</c:v>
                </c:pt>
                <c:pt idx="1">
                  <c:v>0.48623142857142898</c:v>
                </c:pt>
                <c:pt idx="2">
                  <c:v>0.35543999999999998</c:v>
                </c:pt>
                <c:pt idx="3">
                  <c:v>0.169097142857143</c:v>
                </c:pt>
                <c:pt idx="4">
                  <c:v>0.16139999999999999</c:v>
                </c:pt>
                <c:pt idx="5">
                  <c:v>-0.232940714285714</c:v>
                </c:pt>
                <c:pt idx="6">
                  <c:v>-6.60785714285715E-2</c:v>
                </c:pt>
                <c:pt idx="7">
                  <c:v>0.50706499999999999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3-43D6-A191-C81567A9FB33}"/>
            </c:ext>
          </c:extLst>
        </c:ser>
        <c:ser>
          <c:idx val="1"/>
          <c:order val="1"/>
          <c:tx>
            <c:strRef>
              <c:f>'Pivot tables'!$I$17:$I$18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tables'!$G$19:$G$27</c:f>
              <c:strCache>
                <c:ptCount val="8"/>
                <c:pt idx="0">
                  <c:v>Birmingham</c:v>
                </c:pt>
                <c:pt idx="1">
                  <c:v>Cincinnati</c:v>
                </c:pt>
                <c:pt idx="2">
                  <c:v>Cleveland</c:v>
                </c:pt>
                <c:pt idx="3">
                  <c:v>Columbus</c:v>
                </c:pt>
                <c:pt idx="4">
                  <c:v>Indianapolis</c:v>
                </c:pt>
                <c:pt idx="5">
                  <c:v>Las Vegas</c:v>
                </c:pt>
                <c:pt idx="6">
                  <c:v>Miami</c:v>
                </c:pt>
                <c:pt idx="7">
                  <c:v>Portland</c:v>
                </c:pt>
              </c:strCache>
            </c:strRef>
          </c:cat>
          <c:val>
            <c:numRef>
              <c:f>'Pivot tables'!$I$19:$I$27</c:f>
              <c:numCache>
                <c:formatCode>0.00</c:formatCode>
                <c:ptCount val="8"/>
                <c:pt idx="0">
                  <c:v>0.16491666666666699</c:v>
                </c:pt>
                <c:pt idx="1">
                  <c:v>0.90666666666666695</c:v>
                </c:pt>
                <c:pt idx="2">
                  <c:v>0.82520833333333299</c:v>
                </c:pt>
                <c:pt idx="3">
                  <c:v>0.60364444444444398</c:v>
                </c:pt>
                <c:pt idx="4">
                  <c:v>0.49768888888888901</c:v>
                </c:pt>
                <c:pt idx="5">
                  <c:v>-0.19005</c:v>
                </c:pt>
                <c:pt idx="6">
                  <c:v>-4.0744444444444403E-2</c:v>
                </c:pt>
                <c:pt idx="7">
                  <c:v>1.0842138888888899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83-43D6-A191-C81567A9FB33}"/>
            </c:ext>
          </c:extLst>
        </c:ser>
        <c:ser>
          <c:idx val="2"/>
          <c:order val="2"/>
          <c:tx>
            <c:strRef>
              <c:f>'Pivot tables'!$J$17:$J$18</c:f>
              <c:strCache>
                <c:ptCount val="1"/>
                <c:pt idx="0">
                  <c:v>Dessert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tables'!$G$19:$G$27</c:f>
              <c:strCache>
                <c:ptCount val="8"/>
                <c:pt idx="0">
                  <c:v>Birmingham</c:v>
                </c:pt>
                <c:pt idx="1">
                  <c:v>Cincinnati</c:v>
                </c:pt>
                <c:pt idx="2">
                  <c:v>Cleveland</c:v>
                </c:pt>
                <c:pt idx="3">
                  <c:v>Columbus</c:v>
                </c:pt>
                <c:pt idx="4">
                  <c:v>Indianapolis</c:v>
                </c:pt>
                <c:pt idx="5">
                  <c:v>Las Vegas</c:v>
                </c:pt>
                <c:pt idx="6">
                  <c:v>Miami</c:v>
                </c:pt>
                <c:pt idx="7">
                  <c:v>Portland</c:v>
                </c:pt>
              </c:strCache>
            </c:strRef>
          </c:cat>
          <c:val>
            <c:numRef>
              <c:f>'Pivot tables'!$J$19:$J$27</c:f>
              <c:numCache>
                <c:formatCode>0.00</c:formatCode>
                <c:ptCount val="8"/>
                <c:pt idx="0">
                  <c:v>0.63163999999999998</c:v>
                </c:pt>
                <c:pt idx="1">
                  <c:v>0.77639999999999998</c:v>
                </c:pt>
                <c:pt idx="2">
                  <c:v>1.10811555555556</c:v>
                </c:pt>
                <c:pt idx="3">
                  <c:v>0.57079555555555495</c:v>
                </c:pt>
                <c:pt idx="4">
                  <c:v>0.86707111111111101</c:v>
                </c:pt>
                <c:pt idx="5">
                  <c:v>0.55617333333333296</c:v>
                </c:pt>
                <c:pt idx="6">
                  <c:v>0.83372444444444505</c:v>
                </c:pt>
                <c:pt idx="7">
                  <c:v>1.3567777777777801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83-43D6-A191-C81567A9FB33}"/>
            </c:ext>
          </c:extLst>
        </c:ser>
        <c:ser>
          <c:idx val="3"/>
          <c:order val="3"/>
          <c:tx>
            <c:strRef>
              <c:f>'Pivot tables'!$K$17:$K$18</c:f>
              <c:strCache>
                <c:ptCount val="1"/>
                <c:pt idx="0">
                  <c:v>Entry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tables'!$G$19:$G$27</c:f>
              <c:strCache>
                <c:ptCount val="8"/>
                <c:pt idx="0">
                  <c:v>Birmingham</c:v>
                </c:pt>
                <c:pt idx="1">
                  <c:v>Cincinnati</c:v>
                </c:pt>
                <c:pt idx="2">
                  <c:v>Cleveland</c:v>
                </c:pt>
                <c:pt idx="3">
                  <c:v>Columbus</c:v>
                </c:pt>
                <c:pt idx="4">
                  <c:v>Indianapolis</c:v>
                </c:pt>
                <c:pt idx="5">
                  <c:v>Las Vegas</c:v>
                </c:pt>
                <c:pt idx="6">
                  <c:v>Miami</c:v>
                </c:pt>
                <c:pt idx="7">
                  <c:v>Portland</c:v>
                </c:pt>
              </c:strCache>
            </c:strRef>
          </c:cat>
          <c:val>
            <c:numRef>
              <c:f>'Pivot tables'!$K$19:$K$27</c:f>
              <c:numCache>
                <c:formatCode>0.00</c:formatCode>
                <c:ptCount val="8"/>
                <c:pt idx="0">
                  <c:v>0.42521158333333398</c:v>
                </c:pt>
                <c:pt idx="1">
                  <c:v>0.89854800000000001</c:v>
                </c:pt>
                <c:pt idx="2">
                  <c:v>1.3359350833333301</c:v>
                </c:pt>
                <c:pt idx="3">
                  <c:v>0.55849016666666695</c:v>
                </c:pt>
                <c:pt idx="4">
                  <c:v>0.43838300000000002</c:v>
                </c:pt>
                <c:pt idx="5">
                  <c:v>-0.63555300000000003</c:v>
                </c:pt>
                <c:pt idx="6">
                  <c:v>-0.181263916666667</c:v>
                </c:pt>
                <c:pt idx="7">
                  <c:v>1.9484986666666699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83-43D6-A191-C81567A9F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48000815"/>
        <c:axId val="1348002063"/>
      </c:barChart>
      <c:catAx>
        <c:axId val="134800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002063"/>
        <c:crosses val="autoZero"/>
        <c:auto val="1"/>
        <c:lblAlgn val="ctr"/>
        <c:lblOffset val="100"/>
        <c:noMultiLvlLbl val="0"/>
      </c:catAx>
      <c:valAx>
        <c:axId val="13480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00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9524f20-a419-4e17-891f-180bbed0fe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[CL-DA-Project_2-Unit_economy-NEW5.xlsx]Pivot tables!Сводная таблица6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profit,</a:t>
            </a:r>
            <a:r>
              <a:rPr lang="en-US" baseline="0"/>
              <a:t> $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tables'!$H$33:$H$34</c:f>
              <c:strCache>
                <c:ptCount val="1"/>
                <c:pt idx="0">
                  <c:v>Appetizer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tables'!$G$35:$G$43</c:f>
              <c:strCache>
                <c:ptCount val="8"/>
                <c:pt idx="0">
                  <c:v>Birmingham</c:v>
                </c:pt>
                <c:pt idx="1">
                  <c:v>Cincinnati</c:v>
                </c:pt>
                <c:pt idx="2">
                  <c:v>Cleveland</c:v>
                </c:pt>
                <c:pt idx="3">
                  <c:v>Columbus</c:v>
                </c:pt>
                <c:pt idx="4">
                  <c:v>Indianapolis</c:v>
                </c:pt>
                <c:pt idx="5">
                  <c:v>Las Vegas</c:v>
                </c:pt>
                <c:pt idx="6">
                  <c:v>Miami</c:v>
                </c:pt>
                <c:pt idx="7">
                  <c:v>Portland</c:v>
                </c:pt>
              </c:strCache>
            </c:strRef>
          </c:cat>
          <c:val>
            <c:numRef>
              <c:f>'Pivot tables'!$H$35:$H$43</c:f>
              <c:numCache>
                <c:formatCode>#\ ##0.00</c:formatCode>
                <c:ptCount val="8"/>
                <c:pt idx="0">
                  <c:v>0.29652857142857197</c:v>
                </c:pt>
                <c:pt idx="1">
                  <c:v>0.88405714285714299</c:v>
                </c:pt>
                <c:pt idx="2">
                  <c:v>0.88859999999999995</c:v>
                </c:pt>
                <c:pt idx="3">
                  <c:v>0.56365714285714297</c:v>
                </c:pt>
                <c:pt idx="4">
                  <c:v>0.40350000000000003</c:v>
                </c:pt>
                <c:pt idx="5">
                  <c:v>-0.42352857142857098</c:v>
                </c:pt>
                <c:pt idx="6">
                  <c:v>-0.132157142857143</c:v>
                </c:pt>
                <c:pt idx="7">
                  <c:v>1.44875714285714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E-4A14-A353-6FBBF5A74E1E}"/>
            </c:ext>
          </c:extLst>
        </c:ser>
        <c:ser>
          <c:idx val="1"/>
          <c:order val="1"/>
          <c:tx>
            <c:strRef>
              <c:f>'Pivot tables'!$I$33:$I$34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tables'!$G$35:$G$43</c:f>
              <c:strCache>
                <c:ptCount val="8"/>
                <c:pt idx="0">
                  <c:v>Birmingham</c:v>
                </c:pt>
                <c:pt idx="1">
                  <c:v>Cincinnati</c:v>
                </c:pt>
                <c:pt idx="2">
                  <c:v>Cleveland</c:v>
                </c:pt>
                <c:pt idx="3">
                  <c:v>Columbus</c:v>
                </c:pt>
                <c:pt idx="4">
                  <c:v>Indianapolis</c:v>
                </c:pt>
                <c:pt idx="5">
                  <c:v>Las Vegas</c:v>
                </c:pt>
                <c:pt idx="6">
                  <c:v>Miami</c:v>
                </c:pt>
                <c:pt idx="7">
                  <c:v>Portland</c:v>
                </c:pt>
              </c:strCache>
            </c:strRef>
          </c:cat>
          <c:val>
            <c:numRef>
              <c:f>'Pivot tables'!$I$35:$I$43</c:f>
              <c:numCache>
                <c:formatCode>#\ ##0.00</c:formatCode>
                <c:ptCount val="8"/>
                <c:pt idx="0">
                  <c:v>0.21988888888888899</c:v>
                </c:pt>
                <c:pt idx="1">
                  <c:v>1.13333333333333</c:v>
                </c:pt>
                <c:pt idx="2">
                  <c:v>1.1002777777777799</c:v>
                </c:pt>
                <c:pt idx="3">
                  <c:v>0.75455555555555598</c:v>
                </c:pt>
                <c:pt idx="4">
                  <c:v>0.62211111111111095</c:v>
                </c:pt>
                <c:pt idx="5">
                  <c:v>-0.211166666666667</c:v>
                </c:pt>
                <c:pt idx="6">
                  <c:v>-4.28888888888889E-2</c:v>
                </c:pt>
                <c:pt idx="7">
                  <c:v>1.1412777777777801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DE-4A14-A353-6FBBF5A74E1E}"/>
            </c:ext>
          </c:extLst>
        </c:ser>
        <c:ser>
          <c:idx val="2"/>
          <c:order val="2"/>
          <c:tx>
            <c:strRef>
              <c:f>'Pivot tables'!$J$33:$J$34</c:f>
              <c:strCache>
                <c:ptCount val="1"/>
                <c:pt idx="0">
                  <c:v>Dessert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tables'!$G$35:$G$43</c:f>
              <c:strCache>
                <c:ptCount val="8"/>
                <c:pt idx="0">
                  <c:v>Birmingham</c:v>
                </c:pt>
                <c:pt idx="1">
                  <c:v>Cincinnati</c:v>
                </c:pt>
                <c:pt idx="2">
                  <c:v>Cleveland</c:v>
                </c:pt>
                <c:pt idx="3">
                  <c:v>Columbus</c:v>
                </c:pt>
                <c:pt idx="4">
                  <c:v>Indianapolis</c:v>
                </c:pt>
                <c:pt idx="5">
                  <c:v>Las Vegas</c:v>
                </c:pt>
                <c:pt idx="6">
                  <c:v>Miami</c:v>
                </c:pt>
                <c:pt idx="7">
                  <c:v>Portland</c:v>
                </c:pt>
              </c:strCache>
            </c:strRef>
          </c:cat>
          <c:val>
            <c:numRef>
              <c:f>'Pivot tables'!$J$35:$J$43</c:f>
              <c:numCache>
                <c:formatCode>#\ ##0.00</c:formatCode>
                <c:ptCount val="8"/>
                <c:pt idx="0">
                  <c:v>1.40364444444444</c:v>
                </c:pt>
                <c:pt idx="1">
                  <c:v>1.9410000000000001</c:v>
                </c:pt>
                <c:pt idx="2">
                  <c:v>2.0147555555555599</c:v>
                </c:pt>
                <c:pt idx="3">
                  <c:v>1.6308444444444401</c:v>
                </c:pt>
                <c:pt idx="4">
                  <c:v>1.33395555555556</c:v>
                </c:pt>
                <c:pt idx="5">
                  <c:v>0.79453333333333298</c:v>
                </c:pt>
                <c:pt idx="6">
                  <c:v>1.0421555555555599</c:v>
                </c:pt>
                <c:pt idx="7">
                  <c:v>2.7135555555555602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DE-4A14-A353-6FBBF5A74E1E}"/>
            </c:ext>
          </c:extLst>
        </c:ser>
        <c:ser>
          <c:idx val="3"/>
          <c:order val="3"/>
          <c:tx>
            <c:strRef>
              <c:f>'Pivot tables'!$K$33:$K$34</c:f>
              <c:strCache>
                <c:ptCount val="1"/>
                <c:pt idx="0">
                  <c:v>Entry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tables'!$G$35:$G$43</c:f>
              <c:strCache>
                <c:ptCount val="8"/>
                <c:pt idx="0">
                  <c:v>Birmingham</c:v>
                </c:pt>
                <c:pt idx="1">
                  <c:v>Cincinnati</c:v>
                </c:pt>
                <c:pt idx="2">
                  <c:v>Cleveland</c:v>
                </c:pt>
                <c:pt idx="3">
                  <c:v>Columbus</c:v>
                </c:pt>
                <c:pt idx="4">
                  <c:v>Indianapolis</c:v>
                </c:pt>
                <c:pt idx="5">
                  <c:v>Las Vegas</c:v>
                </c:pt>
                <c:pt idx="6">
                  <c:v>Miami</c:v>
                </c:pt>
                <c:pt idx="7">
                  <c:v>Portland</c:v>
                </c:pt>
              </c:strCache>
            </c:strRef>
          </c:cat>
          <c:val>
            <c:numRef>
              <c:f>'Pivot tables'!$K$35:$K$43</c:f>
              <c:numCache>
                <c:formatCode>#\ ##0.00</c:formatCode>
                <c:ptCount val="8"/>
                <c:pt idx="0">
                  <c:v>0.65417166666666704</c:v>
                </c:pt>
                <c:pt idx="1">
                  <c:v>1.4975799999999999</c:v>
                </c:pt>
                <c:pt idx="2">
                  <c:v>1.57168833333333</c:v>
                </c:pt>
                <c:pt idx="3">
                  <c:v>1.0154366666666701</c:v>
                </c:pt>
                <c:pt idx="4">
                  <c:v>0.73063833333333295</c:v>
                </c:pt>
                <c:pt idx="5">
                  <c:v>-0.70616999999999996</c:v>
                </c:pt>
                <c:pt idx="6">
                  <c:v>-0.21325166666666701</c:v>
                </c:pt>
                <c:pt idx="7">
                  <c:v>2.4356233333333299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DE-4A14-A353-6FBBF5A74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1807119"/>
        <c:axId val="153795215"/>
      </c:barChart>
      <c:catAx>
        <c:axId val="132180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95215"/>
        <c:crosses val="autoZero"/>
        <c:auto val="1"/>
        <c:lblAlgn val="ctr"/>
        <c:lblOffset val="100"/>
        <c:noMultiLvlLbl val="0"/>
      </c:catAx>
      <c:valAx>
        <c:axId val="15379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80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edc85e-45fb-4bf7-b837-a12ece28df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[CL-DA-Project_2-Unit_economy-NEW5.xlsx]Pivot tables!Сводная таблица4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</a:t>
            </a:r>
            <a:r>
              <a:rPr lang="en-US" baseline="0"/>
              <a:t> profir margin, %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lang="ru-RU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4255712642401799E-2"/>
              <c:y val="5.32753718285213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lang="ru-RU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4130842205124999E-2"/>
              <c:y val="-5.78357392825896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lang="ru-RU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3.4255712642401799E-2"/>
                  <c:y val="5.3275371828521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31-4578-86E2-C93D89F01CF0}"/>
                </c:ext>
              </c:extLst>
            </c:dLbl>
            <c:dLbl>
              <c:idx val="6"/>
              <c:layout>
                <c:manualLayout>
                  <c:x val="-5.4130842205124999E-2"/>
                  <c:y val="-5.7835739282589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31-4578-86E2-C93D89F01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lang="ru-RU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tables'!$G$4:$G$12</c:f>
              <c:strCache>
                <c:ptCount val="8"/>
                <c:pt idx="0">
                  <c:v>Birmingham</c:v>
                </c:pt>
                <c:pt idx="1">
                  <c:v>Cincinnati</c:v>
                </c:pt>
                <c:pt idx="2">
                  <c:v>Cleveland</c:v>
                </c:pt>
                <c:pt idx="3">
                  <c:v>Columbus</c:v>
                </c:pt>
                <c:pt idx="4">
                  <c:v>Indianapolis</c:v>
                </c:pt>
                <c:pt idx="5">
                  <c:v>Las Vegas</c:v>
                </c:pt>
                <c:pt idx="6">
                  <c:v>Miami</c:v>
                </c:pt>
                <c:pt idx="7">
                  <c:v>Portland</c:v>
                </c:pt>
              </c:strCache>
            </c:strRef>
          </c:cat>
          <c:val>
            <c:numRef>
              <c:f>'Pivot tables'!$H$4:$H$12</c:f>
              <c:numCache>
                <c:formatCode>0%</c:formatCode>
                <c:ptCount val="8"/>
                <c:pt idx="0">
                  <c:v>0.154901642335766</c:v>
                </c:pt>
                <c:pt idx="1">
                  <c:v>0.35231699687174201</c:v>
                </c:pt>
                <c:pt idx="2">
                  <c:v>0.34422378898473799</c:v>
                </c:pt>
                <c:pt idx="3">
                  <c:v>0.257516423357664</c:v>
                </c:pt>
                <c:pt idx="4">
                  <c:v>0.24450843978102199</c:v>
                </c:pt>
                <c:pt idx="5">
                  <c:v>-0.108391727493917</c:v>
                </c:pt>
                <c:pt idx="6">
                  <c:v>-2.1723011909335799E-3</c:v>
                </c:pt>
                <c:pt idx="7">
                  <c:v>0.38701147028154298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31-4578-86E2-C93D89F01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999567"/>
        <c:axId val="1348001647"/>
      </c:lineChart>
      <c:catAx>
        <c:axId val="134799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001647"/>
        <c:crosses val="autoZero"/>
        <c:auto val="1"/>
        <c:lblAlgn val="ctr"/>
        <c:lblOffset val="100"/>
        <c:noMultiLvlLbl val="0"/>
      </c:catAx>
      <c:valAx>
        <c:axId val="134800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99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e03f72-dce6-4239-b22d-102b864008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Priority!$B$7</c:f>
          <c:strCache>
            <c:ptCount val="1"/>
            <c:pt idx="0">
              <c:v>Коэффициент концентрации на 1 кв. км</c:v>
            </c:pt>
          </c:strCache>
        </c:strRef>
      </c:tx>
      <c:layout>
        <c:manualLayout>
          <c:xMode val="edge"/>
          <c:yMode val="edge"/>
          <c:x val="0.19146426906052399"/>
          <c:y val="2.92314544259759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Priority!$D$3:$I$3</c:f>
              <c:strCache>
                <c:ptCount val="6"/>
                <c:pt idx="0">
                  <c:v>Cincinnati OH</c:v>
                </c:pt>
                <c:pt idx="1">
                  <c:v>Columbus OH</c:v>
                </c:pt>
                <c:pt idx="2">
                  <c:v>Indianapolis IN</c:v>
                </c:pt>
                <c:pt idx="3">
                  <c:v>Cleveland OH</c:v>
                </c:pt>
                <c:pt idx="4">
                  <c:v>Portland OR</c:v>
                </c:pt>
                <c:pt idx="5">
                  <c:v>Birmingham AL</c:v>
                </c:pt>
              </c:strCache>
            </c:strRef>
          </c:cat>
          <c:val>
            <c:numRef>
              <c:f>Priority!$D$7:$I$7</c:f>
              <c:numCache>
                <c:formatCode>0.0</c:formatCode>
                <c:ptCount val="6"/>
                <c:pt idx="0">
                  <c:v>0.99369849733397997</c:v>
                </c:pt>
                <c:pt idx="1">
                  <c:v>0.283276450511945</c:v>
                </c:pt>
                <c:pt idx="2">
                  <c:v>0.16894018887723</c:v>
                </c:pt>
                <c:pt idx="3">
                  <c:v>0.51029962546816499</c:v>
                </c:pt>
                <c:pt idx="4">
                  <c:v>0.28753993610223599</c:v>
                </c:pt>
                <c:pt idx="5">
                  <c:v>0.209140201394268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7-45AC-B9A0-0B19D2045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443569184"/>
        <c:axId val="443566832"/>
      </c:barChart>
      <c:catAx>
        <c:axId val="44356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66832"/>
        <c:crosses val="autoZero"/>
        <c:auto val="1"/>
        <c:lblAlgn val="ctr"/>
        <c:lblOffset val="100"/>
        <c:noMultiLvlLbl val="0"/>
      </c:catAx>
      <c:valAx>
        <c:axId val="4435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691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f91a372-cb29-4979-b8b6-6fdf0fe99586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Priority!$B$8</c:f>
          <c:strCache>
            <c:ptCount val="1"/>
            <c:pt idx="0">
              <c:v>Коэффициент концентрации на 1 тыс. чел.</c:v>
            </c:pt>
          </c:strCache>
        </c:strRef>
      </c:tx>
      <c:layout>
        <c:manualLayout>
          <c:xMode val="edge"/>
          <c:yMode val="edge"/>
          <c:x val="0.161694444444444"/>
          <c:y val="3.703703703703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Priority!$D$3:$I$3</c:f>
              <c:strCache>
                <c:ptCount val="6"/>
                <c:pt idx="0">
                  <c:v>Cincinnati OH</c:v>
                </c:pt>
                <c:pt idx="1">
                  <c:v>Columbus OH</c:v>
                </c:pt>
                <c:pt idx="2">
                  <c:v>Indianapolis IN</c:v>
                </c:pt>
                <c:pt idx="3">
                  <c:v>Cleveland OH</c:v>
                </c:pt>
                <c:pt idx="4">
                  <c:v>Portland OR</c:v>
                </c:pt>
                <c:pt idx="5">
                  <c:v>Birmingham AL</c:v>
                </c:pt>
              </c:strCache>
            </c:strRef>
          </c:cat>
          <c:val>
            <c:numRef>
              <c:f>Priority!$D$8:$I$8</c:f>
              <c:numCache>
                <c:formatCode>0.0</c:formatCode>
                <c:ptCount val="6"/>
                <c:pt idx="0">
                  <c:v>0.65895845990157398</c:v>
                </c:pt>
                <c:pt idx="1">
                  <c:v>0.181783338352452</c:v>
                </c:pt>
                <c:pt idx="2">
                  <c:v>0.18310165098550801</c:v>
                </c:pt>
                <c:pt idx="3">
                  <c:v>0.30056031059736998</c:v>
                </c:pt>
                <c:pt idx="4">
                  <c:v>0.17129316825747301</c:v>
                </c:pt>
                <c:pt idx="5">
                  <c:v>0.41191188136937801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7-4086-90AA-54358BF41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442990696"/>
        <c:axId val="442985992"/>
      </c:barChart>
      <c:catAx>
        <c:axId val="44299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85992"/>
        <c:crosses val="autoZero"/>
        <c:auto val="1"/>
        <c:lblAlgn val="ctr"/>
        <c:lblOffset val="100"/>
        <c:noMultiLvlLbl val="0"/>
      </c:catAx>
      <c:valAx>
        <c:axId val="44298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9069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8d98ffa-a4b6-4c2f-be44-0e208a661a68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Priority!$B$14</c:f>
          <c:strCache>
            <c:ptCount val="1"/>
            <c:pt idx="0">
              <c:v>Количество конкурентов</c:v>
            </c:pt>
          </c:strCache>
        </c:strRef>
      </c:tx>
      <c:layout>
        <c:manualLayout>
          <c:xMode val="edge"/>
          <c:yMode val="edge"/>
          <c:x val="0.277586210920089"/>
          <c:y val="3.209277374702809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Priority!$D$3:$I$3</c:f>
              <c:strCache>
                <c:ptCount val="6"/>
                <c:pt idx="0">
                  <c:v>Cincinnati OH</c:v>
                </c:pt>
                <c:pt idx="1">
                  <c:v>Columbus OH</c:v>
                </c:pt>
                <c:pt idx="2">
                  <c:v>Indianapolis IN</c:v>
                </c:pt>
                <c:pt idx="3">
                  <c:v>Cleveland OH</c:v>
                </c:pt>
                <c:pt idx="4">
                  <c:v>Portland OR</c:v>
                </c:pt>
                <c:pt idx="5">
                  <c:v>Birmingham AL</c:v>
                </c:pt>
              </c:strCache>
            </c:strRef>
          </c:cat>
          <c:val>
            <c:numRef>
              <c:f>Priority!$D$14:$I$14</c:f>
              <c:numCache>
                <c:formatCode>0</c:formatCode>
                <c:ptCount val="6"/>
                <c:pt idx="0">
                  <c:v>205</c:v>
                </c:pt>
                <c:pt idx="1">
                  <c:v>166</c:v>
                </c:pt>
                <c:pt idx="2">
                  <c:v>161</c:v>
                </c:pt>
                <c:pt idx="3">
                  <c:v>109</c:v>
                </c:pt>
                <c:pt idx="4">
                  <c:v>108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E-4698-81D7-5CFA27D3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442995008"/>
        <c:axId val="442985600"/>
      </c:barChart>
      <c:catAx>
        <c:axId val="44299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85600"/>
        <c:crosses val="autoZero"/>
        <c:auto val="1"/>
        <c:lblAlgn val="ctr"/>
        <c:lblOffset val="100"/>
        <c:noMultiLvlLbl val="0"/>
      </c:catAx>
      <c:valAx>
        <c:axId val="4429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950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c4552e-10f1-4667-a7d5-139068eb861a}"/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394855</xdr:colOff>
      <xdr:row>12</xdr:row>
      <xdr:rowOff>24244</xdr:rowOff>
    </xdr:from>
    <xdr:to>
      <xdr:col>21</xdr:col>
      <xdr:colOff>76201</xdr:colOff>
      <xdr:row>27</xdr:row>
      <xdr:rowOff>187035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731520</xdr:colOff>
      <xdr:row>14</xdr:row>
      <xdr:rowOff>97428</xdr:rowOff>
    </xdr:from>
    <xdr:to>
      <xdr:col>14</xdr:col>
      <xdr:colOff>1569720</xdr:colOff>
      <xdr:row>29</xdr:row>
      <xdr:rowOff>177438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285206</xdr:colOff>
      <xdr:row>33</xdr:row>
      <xdr:rowOff>41910</xdr:rowOff>
    </xdr:from>
    <xdr:to>
      <xdr:col>14</xdr:col>
      <xdr:colOff>1839686</xdr:colOff>
      <xdr:row>49</xdr:row>
      <xdr:rowOff>38099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16329</xdr:colOff>
      <xdr:row>0</xdr:row>
      <xdr:rowOff>0</xdr:rowOff>
    </xdr:from>
    <xdr:to>
      <xdr:col>13</xdr:col>
      <xdr:colOff>419101</xdr:colOff>
      <xdr:row>14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608940</xdr:colOff>
      <xdr:row>16</xdr:row>
      <xdr:rowOff>10887</xdr:rowOff>
    </xdr:from>
    <xdr:to>
      <xdr:col>3</xdr:col>
      <xdr:colOff>174171</xdr:colOff>
      <xdr:row>31</xdr:row>
      <xdr:rowOff>54428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237068</xdr:colOff>
      <xdr:row>15</xdr:row>
      <xdr:rowOff>181356</xdr:rowOff>
    </xdr:from>
    <xdr:to>
      <xdr:col>15</xdr:col>
      <xdr:colOff>359229</xdr:colOff>
      <xdr:row>31</xdr:row>
      <xdr:rowOff>54428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180767</xdr:colOff>
      <xdr:row>15</xdr:row>
      <xdr:rowOff>182696</xdr:rowOff>
    </xdr:from>
    <xdr:to>
      <xdr:col>8</xdr:col>
      <xdr:colOff>239486</xdr:colOff>
      <xdr:row>31</xdr:row>
      <xdr:rowOff>43542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ордеева Ольга Сергеевна" refreshedDate="45968.753961805603" createdVersion="7" refreshedVersion="6" minRefreshableVersion="3" recordCount="208" xr:uid="{00000000-000A-0000-FFFF-FFFF00000000}">
  <cacheSource type="worksheet">
    <worksheetSource name="Таблица1"/>
  </cacheSource>
  <cacheFields count="23">
    <cacheField name="City" numFmtId="0">
      <sharedItems count="8">
        <s v="Columbus"/>
        <s v="Cincinnati"/>
        <s v="Cleveland"/>
        <s v="Las Vegas"/>
        <s v="Miami"/>
        <s v="Indianapolis"/>
        <s v="Birmingham"/>
        <s v="Portland"/>
      </sharedItems>
    </cacheField>
    <cacheField name="ID" numFmtId="0">
      <sharedItems containsSemiMixedTypes="0" containsNonDate="0" containsString="0"/>
    </cacheField>
    <cacheField name="Category" numFmtId="0">
      <sharedItems count="4">
        <s v="Appetizer"/>
        <s v="Entry"/>
        <s v="Dessert"/>
        <s v="Beverages"/>
      </sharedItems>
    </cacheField>
    <cacheField name="Product" numFmtId="0">
      <sharedItems count="26">
        <s v="Salad A"/>
        <s v="Salad B"/>
        <s v="Salad C"/>
        <s v="Soup A"/>
        <s v="Soup B"/>
        <s v="Pirozhok A"/>
        <s v="Pirozhok B"/>
        <s v="Blin A"/>
        <s v="Blin B"/>
        <s v="Blin C"/>
        <s v="Blin D"/>
        <s v="Blin E"/>
        <s v="Blin F"/>
        <s v="Veggie Blin A"/>
        <s v="Fruit Blin B"/>
        <s v="Entry A"/>
        <s v="Entry B"/>
        <s v="Cake A"/>
        <s v="Cake B"/>
        <s v="Candy A"/>
        <s v="Cold Drink A"/>
        <s v="Cold Drink B"/>
        <s v="Cold Drink C"/>
        <s v="Cold Drink D"/>
        <s v="Hot Drink A"/>
        <s v="Hot Drink B"/>
      </sharedItems>
    </cacheField>
    <cacheField name="Price" numFmtId="165">
      <sharedItems containsSemiMixedTypes="0" containsNonDate="0" containsString="0"/>
    </cacheField>
    <cacheField name="Cost(with labour)" numFmtId="165">
      <sharedItems containsSemiMixedTypes="0" containsNonDate="0" containsString="0"/>
    </cacheField>
    <cacheField name="Weight" numFmtId="0">
      <sharedItems containsSemiMixedTypes="0" containsNonDate="0" containsString="0"/>
    </cacheField>
    <cacheField name="Dairy Products" numFmtId="9">
      <sharedItems containsSemiMixedTypes="0" containsNonDate="0" containsString="0"/>
    </cacheField>
    <cacheField name="Meat / Seafood" numFmtId="9">
      <sharedItems containsSemiMixedTypes="0" containsNonDate="0" containsString="0"/>
    </cacheField>
    <cacheField name="Fruits / Veggie" numFmtId="9">
      <sharedItems containsSemiMixedTypes="0" containsNonDate="0" containsString="0"/>
    </cacheField>
    <cacheField name="Beverages" numFmtId="9">
      <sharedItems containsSemiMixedTypes="0" containsNonDate="0" containsString="0"/>
    </cacheField>
    <cacheField name="Pantry" numFmtId="9">
      <sharedItems containsSemiMixedTypes="0" containsNonDate="0" containsString="0"/>
    </cacheField>
    <cacheField name="Total" numFmtId="9">
      <sharedItems containsSemiMixedTypes="0" containsNonDate="0" containsString="0"/>
    </cacheField>
    <cacheField name="Portions/hour" numFmtId="1">
      <sharedItems containsSemiMixedTypes="0" containsNonDate="0" containsString="0"/>
    </cacheField>
    <cacheField name="Time - min" numFmtId="2">
      <sharedItems containsSemiMixedTypes="0" containsNonDate="0" containsString="0"/>
    </cacheField>
    <cacheField name="Time - hrs" numFmtId="2">
      <sharedItems containsSemiMixedTypes="0" containsNonDate="0" containsString="0"/>
    </cacheField>
    <cacheField name="Profit" numFmtId="173">
      <sharedItems containsSemiMixedTypes="0" containsNonDate="0" containsString="0"/>
    </cacheField>
    <cacheField name="Gross profit" numFmtId="9">
      <sharedItems containsSemiMixedTypes="0" containsNonDate="0" containsString="0"/>
    </cacheField>
    <cacheField name="Order" numFmtId="9">
      <sharedItems containsSemiMixedTypes="0" containsNonDate="0" containsString="0"/>
    </cacheField>
    <cacheField name="Order * Profit" numFmtId="173">
      <sharedItems containsSemiMixedTypes="0" containsNonDate="0" containsString="0"/>
    </cacheField>
    <cacheField name="Gross Profit per Average Order" numFmtId="173">
      <sharedItems containsSemiMixedTypes="0" containsNonDate="0" containsString="0"/>
    </cacheField>
    <cacheField name="Costs per Average Order" numFmtId="173">
      <sharedItems containsSemiMixedTypes="0" containsNonDate="0" containsString="0"/>
    </cacheField>
    <cacheField name="Gross profit margin" numFmtId="0" formula="Profit/Pric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rde" refreshedDate="45972.636053240698" createdVersion="5" refreshedVersion="5" minRefreshableVersion="3" recordCount="208" xr:uid="{00000000-000A-0000-FFFF-FFFF01000000}">
  <cacheSource type="worksheet">
    <worksheetSource ref="A3:X211" sheet="Menu and cost - USA by city"/>
  </cacheSource>
  <cacheFields count="24">
    <cacheField name="City" numFmtId="0">
      <sharedItems count="8">
        <s v="Columbus"/>
        <s v="Cincinnati"/>
        <s v="Cleveland"/>
        <s v="Las Vegas"/>
        <s v="Miami"/>
        <s v="Indianapolis"/>
        <s v="Birmingham"/>
        <s v="Portland"/>
      </sharedItems>
    </cacheField>
    <cacheField name="ID" numFmtId="0">
      <sharedItems containsSemiMixedTypes="0" containsString="0" containsNumber="1" containsInteger="1" minValue="1" maxValue="208" count="20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</sharedItems>
    </cacheField>
    <cacheField name="Category" numFmtId="0">
      <sharedItems count="4">
        <s v="Appetizer"/>
        <s v="Entry"/>
        <s v="Dessert"/>
        <s v="Beverages"/>
      </sharedItems>
    </cacheField>
    <cacheField name="Product" numFmtId="0">
      <sharedItems count="26">
        <s v="Salad A"/>
        <s v="Salad B"/>
        <s v="Salad C"/>
        <s v="Soup A"/>
        <s v="Soup B"/>
        <s v="Pirozhok A"/>
        <s v="Pirozhok B"/>
        <s v="Blin A"/>
        <s v="Blin B"/>
        <s v="Blin C"/>
        <s v="Blin D"/>
        <s v="Blin E"/>
        <s v="Blin F"/>
        <s v="Veggie Blin A"/>
        <s v="Fruit Blin B"/>
        <s v="Entry A"/>
        <s v="Entry B"/>
        <s v="Cake A"/>
        <s v="Cake B"/>
        <s v="Candy A"/>
        <s v="Cold Drink A"/>
        <s v="Cold Drink B"/>
        <s v="Cold Drink C"/>
        <s v="Cold Drink D"/>
        <s v="Hot Drink A"/>
        <s v="Hot Drink B"/>
      </sharedItems>
    </cacheField>
    <cacheField name="Price" numFmtId="165">
      <sharedItems containsSemiMixedTypes="0" containsString="0" containsNumber="1" minValue="1.06666666666667" maxValue="9.3333333333333304" count="39">
        <n v="4"/>
        <n v="2.6666666666666701"/>
        <n v="1.3333333333333299"/>
        <n v="5.3333333333333304"/>
        <n v="6.6666666666666696"/>
        <n v="2"/>
        <n v="4.2"/>
        <n v="2.8"/>
        <n v="1.4"/>
        <n v="5.6"/>
        <n v="7"/>
        <n v="2.1"/>
        <n v="4.4000000000000004"/>
        <n v="2.93333333333333"/>
        <n v="1.4666666666666699"/>
        <n v="5.8666666666666698"/>
        <n v="7.3333333333333304"/>
        <n v="2.2000000000000002"/>
        <n v="3.6"/>
        <n v="2.4"/>
        <n v="1.2"/>
        <n v="4.8"/>
        <n v="6"/>
        <n v="1.8"/>
        <n v="3.8"/>
        <n v="2.5333333333333301"/>
        <n v="1.2666666666666699"/>
        <n v="5.06666666666667"/>
        <n v="6.3333333333333304"/>
        <n v="1.9"/>
        <n v="3.2"/>
        <n v="2.1333333333333302"/>
        <n v="1.06666666666667"/>
        <n v="4.2666666666666702"/>
        <n v="1.6"/>
        <n v="3.7333333333333298"/>
        <n v="1.86666666666667"/>
        <n v="7.4666666666666703"/>
        <n v="9.3333333333333304"/>
      </sharedItems>
    </cacheField>
    <cacheField name="Cost(with labour)" numFmtId="165">
      <sharedItems containsSemiMixedTypes="0" containsString="0" containsNumber="1" minValue="0.89953333333333296" maxValue="6.4159499999999996" count="176">
        <n v="2.9272"/>
        <n v="2.9792000000000001"/>
        <n v="3.0571999999999999"/>
        <n v="1.94986666666667"/>
        <n v="2.1406666666666698"/>
        <n v="1.46763333333333"/>
        <n v="1.53263333333333"/>
        <n v="2.9352666666666698"/>
        <n v="3.8007666666666702"/>
        <n v="4.1670666666666696"/>
        <n v="3.2829999999999999"/>
        <n v="4.5025000000000004"/>
        <n v="4.4634999999999998"/>
        <n v="2.8456666666666699"/>
        <n v="4.4194000000000004"/>
        <n v="4.4931999999999999"/>
        <n v="1.9778"/>
        <n v="1.1518666666666699"/>
        <n v="1.2693333333333301"/>
        <n v="1.62866666666667"/>
        <n v="1.4359999999999999"/>
        <n v="1.5740000000000001"/>
        <n v="2.673"/>
        <n v="2.7618"/>
        <n v="2.895"/>
        <n v="1.7363999999999999"/>
        <n v="1.9452"/>
        <n v="1.3446"/>
        <n v="1.4556"/>
        <n v="2.6892"/>
        <n v="3.4108000000000001"/>
        <n v="3.8502999999999998"/>
        <n v="3.1257999999999999"/>
        <n v="4.2968999999999999"/>
        <n v="4.2302999999999997"/>
        <n v="2.5981999999999998"/>
        <n v="4.2450000000000001"/>
        <n v="4.2885"/>
        <n v="1.8194999999999999"/>
        <n v="1.038"/>
        <n v="0.99950000000000006"/>
        <n v="1.3582000000000001"/>
        <n v="1.1745000000000001"/>
        <n v="1.3101"/>
        <n v="2.9049999999999998"/>
        <n v="2.9590000000000001"/>
        <n v="3.04"/>
        <n v="1.8639333333333299"/>
        <n v="2.0529333333333302"/>
        <n v="1.4457166666666701"/>
        <n v="1.51321666666667"/>
        <n v="2.89143333333333"/>
        <n v="3.5972833333333298"/>
        <n v="4.0717333333333299"/>
        <n v="3.2416999999999998"/>
        <n v="4.3935500000000003"/>
        <n v="4.3530499999999996"/>
        <n v="2.7670333333333299"/>
        <n v="4.43"/>
        <n v="4.4459"/>
        <n v="1.9271499999999999"/>
        <n v="1.1014333333333299"/>
        <n v="1.1316666666666699"/>
        <n v="1.5133333333333301"/>
        <n v="1.3149999999999999"/>
        <n v="1.46"/>
        <n v="3.4628000000000001"/>
        <n v="3.7164000000000001"/>
        <n v="4.0968"/>
        <n v="2.7433999999999998"/>
        <n v="3.0922000000000001"/>
        <n v="1.7680499999999999"/>
        <n v="2.0850499999999998"/>
        <n v="3.5360999999999998"/>
        <n v="4.9453500000000004"/>
        <n v="5.4796500000000004"/>
        <n v="4.3236999999999997"/>
        <n v="6.4159499999999996"/>
        <n v="6.2257499999999997"/>
        <n v="3.5165000000000002"/>
        <n v="6.0846"/>
        <n v="6.1980000000000004"/>
        <n v="2.5373999999999999"/>
        <n v="1.5416000000000001"/>
        <n v="2.0409999999999999"/>
        <n v="2.3443999999999998"/>
        <n v="2.1909999999999998"/>
        <n v="2.3052000000000001"/>
        <n v="3.3984000000000001"/>
        <n v="3.5691999999999999"/>
        <n v="3.8254000000000001"/>
        <n v="2.5723333333333298"/>
        <n v="2.8677333333333301"/>
        <n v="1.7392666666666701"/>
        <n v="1.9527666666666701"/>
        <n v="3.4785333333333299"/>
        <n v="4.8387333333333302"/>
        <n v="5.2213833333333302"/>
        <n v="4.1159999999999997"/>
        <n v="5.9551999999999996"/>
        <n v="5.8270999999999997"/>
        <n v="3.45773333333333"/>
        <n v="5.6017999999999999"/>
        <n v="5.7575000000000003"/>
        <n v="2.4494500000000001"/>
        <n v="1.4746333333333299"/>
        <n v="1.9791666666666701"/>
        <n v="2.28793333333333"/>
        <n v="2.1375000000000002"/>
        <n v="2.2523"/>
        <n v="2.35"/>
        <n v="2.4552"/>
        <n v="2.613"/>
        <n v="1.5413333333333299"/>
        <n v="1.7565333333333299"/>
        <n v="1.1639666666666699"/>
        <n v="1.2954666666666701"/>
        <n v="2.3279333333333301"/>
        <n v="2.9288333333333298"/>
        <n v="3.42248333333333"/>
        <n v="2.7061999999999999"/>
        <n v="3.8170999999999999"/>
        <n v="3.7382"/>
        <n v="2.2291333333333299"/>
        <n v="3.7894999999999999"/>
        <n v="3.8062999999999998"/>
        <n v="1.5492999999999999"/>
        <n v="0.89953333333333296"/>
        <n v="0.99466666666666703"/>
        <n v="1.2877333333333301"/>
        <n v="1.1279999999999999"/>
        <n v="1.2412000000000001"/>
        <n v="3.26"/>
        <n v="3.274"/>
        <n v="3.2949999999999999"/>
        <n v="2.3314666666666701"/>
        <n v="2.47346666666667"/>
        <n v="1.6364333333333301"/>
        <n v="1.6539333333333299"/>
        <n v="3.2728666666666699"/>
        <n v="4.2867666666666704"/>
        <n v="4.6022166666666697"/>
        <n v="3.5377999999999998"/>
        <n v="4.8277000000000001"/>
        <n v="4.8171999999999997"/>
        <n v="3.1764666666666699"/>
        <n v="4.8085000000000004"/>
        <n v="4.8559000000000001"/>
        <n v="2.2334000000000001"/>
        <n v="1.32226666666667"/>
        <n v="1.8233333333333299"/>
        <n v="2.1362666666666699"/>
        <n v="1.99"/>
        <n v="2.1048"/>
        <n v="3.2677999999999998"/>
        <n v="3.2997999999999998"/>
        <n v="3.3477999999999999"/>
        <n v="2.18313333333333"/>
        <n v="2.3573333333333299"/>
        <n v="1.6814166666666699"/>
        <n v="1.7214166666666699"/>
        <n v="3.36283333333333"/>
        <n v="4.3219833333333302"/>
        <n v="4.6375833333333301"/>
        <n v="3.8083"/>
        <n v="5.0604500000000003"/>
        <n v="5.0364500000000003"/>
        <n v="3.2776333333333301"/>
        <n v="4.9451000000000001"/>
        <n v="5.0305999999999997"/>
        <n v="2.2847499999999998"/>
        <n v="1.2898333333333301"/>
        <n v="1.7646666666666699"/>
        <n v="2.0937333333333301"/>
        <n v="1.998"/>
        <n v="2.1042000000000001"/>
      </sharedItems>
    </cacheField>
    <cacheField name="Weight" numFmtId="0">
      <sharedItems containsSemiMixedTypes="0" containsString="0" containsNumber="1" minValue="0.1" maxValue="0.3" count="4">
        <n v="0.2"/>
        <n v="0.1"/>
        <n v="0.3"/>
        <n v="0.15"/>
      </sharedItems>
    </cacheField>
    <cacheField name="Dairy Products" numFmtId="9">
      <sharedItems containsSemiMixedTypes="0" containsString="0" containsNumber="1" minValue="0" maxValue="0.3" count="4">
        <n v="0"/>
        <n v="0.1"/>
        <n v="0.3"/>
        <n v="0.2"/>
      </sharedItems>
    </cacheField>
    <cacheField name="Meat / Seafood" numFmtId="9">
      <sharedItems containsSemiMixedTypes="0" containsString="0" containsNumber="1" minValue="0" maxValue="0.6" count="6">
        <n v="0"/>
        <n v="0.2"/>
        <n v="0.5"/>
        <n v="0.25"/>
        <n v="0.4"/>
        <n v="0.6"/>
      </sharedItems>
    </cacheField>
    <cacheField name="Fruits / Veggie" numFmtId="9">
      <sharedItems containsSemiMixedTypes="0" containsString="0" containsNumber="1" minValue="0" maxValue="0.9" count="14">
        <n v="0.9"/>
        <n v="0.7"/>
        <n v="0.4"/>
        <n v="0.3"/>
        <n v="0.75"/>
        <n v="0.25"/>
        <n v="0.55000000000000004"/>
        <n v="0.5"/>
        <n v="0.05"/>
        <n v="0.15"/>
        <n v="0.65"/>
        <n v="0.2"/>
        <n v="0"/>
        <n v="0.1"/>
      </sharedItems>
    </cacheField>
    <cacheField name="Beverages" numFmtId="9">
      <sharedItems containsSemiMixedTypes="0" containsString="0" containsNumber="1" minValue="0" maxValue="1" count="6">
        <n v="0"/>
        <n v="0.1"/>
        <n v="0.05"/>
        <n v="1"/>
        <n v="0.8"/>
        <n v="0.9"/>
      </sharedItems>
    </cacheField>
    <cacheField name="Pantry" numFmtId="9">
      <sharedItems containsSemiMixedTypes="0" containsString="0" containsNumber="1" minValue="0" maxValue="0.4" count="5">
        <n v="0.1"/>
        <n v="0.4"/>
        <n v="0.3"/>
        <n v="0.2"/>
        <n v="0"/>
      </sharedItems>
    </cacheField>
    <cacheField name="Total" numFmtId="9">
      <sharedItems containsSemiMixedTypes="0" containsString="0" containsNumber="1" containsInteger="1" minValue="1" maxValue="1" count="1">
        <n v="1"/>
      </sharedItems>
    </cacheField>
    <cacheField name="Portions/hour" numFmtId="1">
      <sharedItems containsSemiMixedTypes="0" containsString="0" containsNumber="1" containsInteger="1" minValue="10" maxValue="120" count="7">
        <n v="20"/>
        <n v="60"/>
        <n v="30"/>
        <n v="15"/>
        <n v="10"/>
        <n v="120"/>
        <n v="40"/>
      </sharedItems>
    </cacheField>
    <cacheField name="Time - min" numFmtId="2">
      <sharedItems containsSemiMixedTypes="0" containsString="0" containsNumber="1" minValue="0.5" maxValue="6" count="7">
        <n v="3"/>
        <n v="1"/>
        <n v="2"/>
        <n v="4"/>
        <n v="6"/>
        <n v="0.5"/>
        <n v="1.5"/>
      </sharedItems>
    </cacheField>
    <cacheField name="Time - hrs" numFmtId="2">
      <sharedItems containsSemiMixedTypes="0" containsString="0" containsNumber="1" minValue="8.3333333333333297E-3" maxValue="0.1" count="7">
        <n v="0.05"/>
        <n v="1.6666666666666701E-2"/>
        <n v="3.3333333333333298E-2"/>
        <n v="6.6666666666666693E-2"/>
        <n v="0.1"/>
        <n v="8.3333333333333297E-3"/>
        <n v="2.5000000000000001E-2"/>
      </sharedItems>
    </cacheField>
    <cacheField name="Profit" numFmtId="173">
      <sharedItems containsSemiMixedTypes="0" containsString="0" containsNumber="1" minValue="-1.87965" maxValue="4.3882333333333303" count="175">
        <n v="1.0728"/>
        <n v="1.0207999999999999"/>
        <n v="0.94279999999999997"/>
        <n v="0.71679999999999999"/>
        <n v="0.52600000000000002"/>
        <n v="-0.1343"/>
        <n v="-0.1993"/>
        <n v="1.06473333333333"/>
        <n v="0.19923333333333301"/>
        <n v="-0.167066666666666"/>
        <n v="0.71699999999999997"/>
        <n v="0.83083333333333398"/>
        <n v="0.86983333333333401"/>
        <n v="1.1543333333333301"/>
        <n v="2.2472666666666701"/>
        <n v="2.1734666666666702"/>
        <n v="2.0222000000000002"/>
        <n v="0.84813333333333296"/>
        <n v="0.73066666666666702"/>
        <n v="1.038"/>
        <n v="0.56399999999999995"/>
        <n v="0.42599999999999999"/>
        <n v="1.5269999999999999"/>
        <n v="1.4381999999999999"/>
        <n v="1.3049999999999999"/>
        <n v="1.0636000000000001"/>
        <n v="0.8548"/>
        <n v="5.5400000000000102E-2"/>
        <n v="-5.55999999999999E-2"/>
        <n v="1.5107999999999999"/>
        <n v="0.78920000000000001"/>
        <n v="0.34970000000000001"/>
        <n v="1.0742"/>
        <n v="1.3030999999999999"/>
        <n v="1.3696999999999999"/>
        <n v="1.6017999999999999"/>
        <n v="2.7549999999999999"/>
        <n v="2.7115"/>
        <n v="2.3805000000000001"/>
        <n v="1.0620000000000001"/>
        <n v="1.1005"/>
        <n v="1.4418"/>
        <n v="0.92549999999999999"/>
        <n v="0.78990000000000005"/>
        <n v="1.4950000000000001"/>
        <n v="1.4410000000000001"/>
        <n v="1.36"/>
        <n v="1.0693999999999999"/>
        <n v="0.88039999999999996"/>
        <n v="2.0950000000000201E-2"/>
        <n v="-4.6550000000000098E-2"/>
        <n v="1.5085666666666699"/>
        <n v="0.80271666666666697"/>
        <n v="0.32826666666666698"/>
        <n v="1.1583000000000001"/>
        <n v="1.47311666666667"/>
        <n v="1.5136166666666699"/>
        <n v="1.63296666666667"/>
        <n v="2.9033333333333302"/>
        <n v="2.88743333333333"/>
        <n v="2.4728500000000002"/>
        <n v="1.09856666666667"/>
        <n v="1.06833333333333"/>
        <n v="1.42"/>
        <n v="0.88500000000000001"/>
        <n v="0.74"/>
        <n v="0.13719999999999999"/>
        <n v="-0.1164"/>
        <n v="-0.49680000000000002"/>
        <n v="-0.34339999999999998"/>
        <n v="-0.69220000000000004"/>
        <n v="-0.56805000000000005"/>
        <n v="-0.88505"/>
        <n v="6.3900000000000304E-2"/>
        <n v="-1.34535"/>
        <n v="-1.87965"/>
        <n v="-0.72370000000000101"/>
        <n v="-1.61595"/>
        <n v="-1.4257500000000001"/>
        <n v="8.3499999999999894E-2"/>
        <n v="-8.4599999999999995E-2"/>
        <n v="-0.19800000000000001"/>
        <n v="1.0626"/>
        <n v="0.25840000000000002"/>
        <n v="-0.24099999999999999"/>
        <n v="5.5600000000000101E-2"/>
        <n v="-0.39100000000000001"/>
        <n v="-0.50519999999999998"/>
        <n v="0.40160000000000001"/>
        <n v="0.23080000000000001"/>
        <n v="-2.5400000000000301E-2"/>
        <n v="-3.9000000000000097E-2"/>
        <n v="-0.33440000000000097"/>
        <n v="-0.47260000000000002"/>
        <n v="-0.68610000000000004"/>
        <n v="0.32146666666666701"/>
        <n v="-1.03873333333333"/>
        <n v="-1.4213833333333299"/>
        <n v="-0.316"/>
        <n v="-0.88853333333333395"/>
        <n v="-0.76043333333333396"/>
        <n v="0.342266666666667"/>
        <n v="0.73153333333333304"/>
        <n v="0.57583333333333298"/>
        <n v="1.3505499999999999"/>
        <n v="0.425366666666667"/>
        <n v="-7.9166666666666594E-2"/>
        <n v="0.24540000000000001"/>
        <n v="-0.23749999999999999"/>
        <n v="-0.3523"/>
        <n v="0.85"/>
        <n v="0.74480000000000002"/>
        <n v="0.58699999999999997"/>
        <n v="0.59199999999999997"/>
        <n v="0.37680000000000002"/>
        <n v="-9.7300000000000206E-2"/>
        <n v="-0.2288"/>
        <n v="0.87206666666666699"/>
        <n v="0.271166666666667"/>
        <n v="-0.22248333333333301"/>
        <n v="0.49380000000000002"/>
        <n v="0.449566666666667"/>
        <n v="0.52846666666666697"/>
        <n v="0.97086666666666699"/>
        <n v="1.5438333333333301"/>
        <n v="1.5270333333333299"/>
        <n v="1.6507000000000001"/>
        <n v="0.70046666666666701"/>
        <n v="0.60533333333333394"/>
        <n v="0.84560000000000002"/>
        <n v="0.47199999999999998"/>
        <n v="0.35880000000000001"/>
        <n v="0.72599999999999998"/>
        <n v="0.70499999999999996"/>
        <n v="0.3352"/>
        <n v="0.19320000000000101"/>
        <n v="-0.30309999999999998"/>
        <n v="-0.3206"/>
        <n v="0.72713333333333297"/>
        <n v="-0.286766666666667"/>
        <n v="-0.60221666666666696"/>
        <n v="0.4622"/>
        <n v="0.50563333333333504"/>
        <n v="0.516133333333334"/>
        <n v="0.82353333333333301"/>
        <n v="1.8581666666666701"/>
        <n v="1.81076666666667"/>
        <n v="1.7665999999999999"/>
        <n v="0.67773333333333297"/>
        <n v="0.176666666666667"/>
        <n v="0.53040000000000098"/>
        <n v="0.01"/>
        <n v="-0.1048"/>
        <n v="2.3321999999999998"/>
        <n v="2.3001999999999998"/>
        <n v="2.2522000000000002"/>
        <n v="1.5502"/>
        <n v="1.3759999999999999"/>
        <n v="0.18525"/>
        <n v="0.14524999999999999"/>
        <n v="2.2371666666666701"/>
        <n v="1.2780166666666699"/>
        <n v="0.96241666666666703"/>
        <n v="1.7917000000000001"/>
        <n v="2.40621666666667"/>
        <n v="2.43021666666667"/>
        <n v="2.32236666666667"/>
        <n v="4.3882333333333303"/>
        <n v="4.3027333333333297"/>
        <n v="3.3152499999999998"/>
        <n v="1.51016666666667"/>
        <n v="1.0353333333333301"/>
        <n v="1.6395999999999999"/>
        <n v="0.80200000000000005"/>
        <n v="0.69579999999999997"/>
      </sharedItems>
    </cacheField>
    <cacheField name="Gross profit" numFmtId="9">
      <sharedItems containsSemiMixedTypes="0" containsString="0" containsNumber="1" minValue="-0.73754166666666598" maxValue="0.59200892857142895" count="176">
        <n v="0.26819999999999999"/>
        <n v="0.25519999999999998"/>
        <n v="0.23569999999999999"/>
        <n v="0.26879999999999998"/>
        <n v="0.19725000000000001"/>
        <n v="-0.100725"/>
        <n v="-0.149475"/>
        <n v="0.26618333333333299"/>
        <n v="4.9808333333333302E-2"/>
        <n v="-4.1766666666666501E-2"/>
        <n v="0.17924999999999999"/>
        <n v="0.15578125000000001"/>
        <n v="0.16309375000000001"/>
        <n v="0.28858333333333303"/>
        <n v="0.33709"/>
        <n v="0.32601999999999998"/>
        <n v="0.50555000000000005"/>
        <n v="0.42406666666666698"/>
        <n v="0.36533333333333301"/>
        <n v="0.38924999999999998"/>
        <n v="0.28199999999999997"/>
        <n v="0.21299999999999999"/>
        <n v="0.36357142857142899"/>
        <n v="0.34242857142857203"/>
        <n v="0.310714285714286"/>
        <n v="0.379857142857143"/>
        <n v="0.30528571428571399"/>
        <n v="3.9571428571428702E-2"/>
        <n v="-3.9714285714285598E-2"/>
        <n v="0.35971428571428599"/>
        <n v="0.18790476190476199"/>
        <n v="8.3261904761904801E-2"/>
        <n v="0.25576190476190502"/>
        <n v="0.232696428571429"/>
        <n v="0.24458928571428601"/>
        <n v="0.38138095238095199"/>
        <n v="0.39357142857142902"/>
        <n v="0.38735714285714301"/>
        <n v="0.566785714285714"/>
        <n v="0.505714285714286"/>
        <n v="0.52404761904761898"/>
        <n v="0.51492857142857096"/>
        <n v="0.440714285714286"/>
        <n v="0.376142857142857"/>
        <n v="0.339772727272727"/>
        <n v="0.32750000000000001"/>
        <n v="0.30909090909090903"/>
        <n v="0.36456818181818201"/>
        <n v="0.30013636363636398"/>
        <n v="1.42840909090911E-2"/>
        <n v="-3.1738636363636399E-2"/>
        <n v="0.342856060606061"/>
        <n v="0.18243560606060599"/>
        <n v="7.4606060606060703E-2"/>
        <n v="0.26324999999999998"/>
        <n v="0.25109943181818201"/>
        <n v="0.25800284090909098"/>
        <n v="0.371128787878788"/>
        <n v="0.39590909090909099"/>
        <n v="0.39374090909090897"/>
        <n v="0.56201136363636395"/>
        <n v="0.49934848484848499"/>
        <n v="0.48560606060606099"/>
        <n v="0.48409090909090902"/>
        <n v="0.402272727272727"/>
        <n v="0.33636363636363598"/>
        <n v="3.8111111111111103E-2"/>
        <n v="-3.23333333333332E-2"/>
        <n v="-0.13800000000000001"/>
        <n v="-0.14308333333333301"/>
        <n v="-0.28841666666666699"/>
        <n v="-0.47337499999999999"/>
        <n v="-0.73754166666666598"/>
        <n v="1.7750000000000099E-2"/>
        <n v="-0.37370833333333298"/>
        <n v="-0.52212499999999995"/>
        <n v="-0.201027777777778"/>
        <n v="-0.33665624999999999"/>
        <n v="-0.29703125000000002"/>
        <n v="2.31944444444444E-2"/>
        <n v="-1.41E-2"/>
        <n v="-3.3000000000000099E-2"/>
        <n v="0.29516666666666702"/>
        <n v="0.14355555555555599"/>
        <n v="-0.133888888888889"/>
        <n v="2.31666666666667E-2"/>
        <n v="-0.21722222222222201"/>
        <n v="-0.28066666666666701"/>
        <n v="0.10568421052631601"/>
        <n v="6.0736842105263103E-2"/>
        <n v="-6.6842105263158697E-3"/>
        <n v="-1.53947368421053E-2"/>
        <n v="-0.13200000000000001"/>
        <n v="-0.373105263157895"/>
        <n v="-0.541657894736842"/>
        <n v="8.4596491228070197E-2"/>
        <n v="-0.27335087719298201"/>
        <n v="-0.37404824561403499"/>
        <n v="-8.3157894736842194E-2"/>
        <n v="-0.17536842105263201"/>
        <n v="-0.15008552631579"/>
        <n v="9.0070175438596495E-2"/>
        <n v="0.115505263157895"/>
        <n v="9.0921052631578902E-2"/>
        <n v="0.35540789473684198"/>
        <n v="0.22387719298245601"/>
        <n v="-4.1666666666666602E-2"/>
        <n v="9.6868421052631604E-2"/>
        <n v="-0.125"/>
        <n v="-0.18542105263157899"/>
        <n v="0.265625"/>
        <n v="0.23275000000000001"/>
        <n v="0.1834375"/>
        <n v="0.27750000000000002"/>
        <n v="0.176625"/>
        <n v="-9.1218750000000196E-2"/>
        <n v="-0.2145"/>
        <n v="0.27252083333333299"/>
        <n v="8.4739583333333396E-2"/>
        <n v="-6.9526041666666497E-2"/>
        <n v="0.15431249999999999"/>
        <n v="0.1053671875"/>
        <n v="0.12385937499999999"/>
        <n v="0.30339583333333298"/>
        <n v="0.28946875"/>
        <n v="0.28631875000000001"/>
        <n v="0.51584375000000005"/>
        <n v="0.43779166666666702"/>
        <n v="0.37833333333333302"/>
        <n v="0.39637499999999998"/>
        <n v="0.29499999999999998"/>
        <n v="0.22425"/>
        <n v="0.185"/>
        <n v="0.18149999999999999"/>
        <n v="0.17624999999999999"/>
        <n v="0.12570000000000001"/>
        <n v="7.2450000000000306E-2"/>
        <n v="-0.227325"/>
        <n v="-0.24045"/>
        <n v="0.18178333333333299"/>
        <n v="-7.1691666666666695E-2"/>
        <n v="-0.15055416666666699"/>
        <n v="0.11555"/>
        <n v="9.48062500000003E-2"/>
        <n v="9.6775000000000194E-2"/>
        <n v="0.205883333333333"/>
        <n v="0.278725"/>
        <n v="0.271615"/>
        <n v="0.44164999999999999"/>
        <n v="0.33886666666666698"/>
        <n v="8.8333333333333403E-2"/>
        <n v="0.19889999999999999"/>
        <n v="5.0000000000000001E-3"/>
        <n v="-5.2400000000000002E-2"/>
        <n v="0.41646428571428601"/>
        <n v="0.41075"/>
        <n v="0.402178571428571"/>
        <n v="0.41523214285714299"/>
        <n v="0.36857142857142899"/>
        <n v="9.9241071428571304E-2"/>
        <n v="7.7812500000000104E-2"/>
        <n v="0.399494047619048"/>
        <n v="0.22821726190476199"/>
        <n v="0.171860119047619"/>
        <n v="0.31994642857142802"/>
        <n v="0.32226116071428601"/>
        <n v="0.32547544642857101"/>
        <n v="0.41470833333333301"/>
        <n v="0.47016785714285703"/>
        <n v="0.461007142857143"/>
        <n v="0.59200892857142895"/>
        <n v="0.53934523809523804"/>
        <n v="0.36976190476190501"/>
        <n v="0.43917857142857097"/>
        <n v="0.28642857142857098"/>
        <n v="0.2485"/>
      </sharedItems>
    </cacheField>
    <cacheField name="Order" numFmtId="9">
      <sharedItems containsSemiMixedTypes="0" containsString="0" containsNumber="1" minValue="0.2" maxValue="0.95" count="15">
        <n v="0.3"/>
        <n v="0.55000000000000004"/>
        <n v="0.35"/>
        <n v="0.8"/>
        <n v="0.6"/>
        <n v="0.4"/>
        <n v="0.85"/>
        <n v="0.75"/>
        <n v="0.9"/>
        <n v="0.7"/>
        <n v="0.5"/>
        <n v="0.95"/>
        <n v="0.65"/>
        <n v="0.2"/>
        <n v="0.45"/>
      </sharedItems>
    </cacheField>
    <cacheField name="Order * Profit" numFmtId="173">
      <sharedItems containsSemiMixedTypes="0" containsString="0" containsNumber="1" minValue="-1.6916850000000001" maxValue="3.5105866666666699" count="176">
        <n v="0.32184000000000001"/>
        <n v="0.30624000000000001"/>
        <n v="0.28283999999999998"/>
        <n v="0.21504000000000001"/>
        <n v="0.1578"/>
        <n v="-4.0289999999999999E-2"/>
        <n v="-5.9789999999999899E-2"/>
        <n v="0.58560333333333303"/>
        <n v="0.109578333333333"/>
        <n v="-9.1886666666666297E-2"/>
        <n v="0.39434999999999998"/>
        <n v="0.45695833333333402"/>
        <n v="0.47840833333333399"/>
        <n v="0.63488333333333302"/>
        <n v="1.23599666666667"/>
        <n v="1.1954066666666701"/>
        <n v="0.70777000000000001"/>
        <n v="0.29684666666666698"/>
        <n v="0.58453333333333402"/>
        <n v="0.83040000000000003"/>
        <n v="0.45119999999999999"/>
        <n v="0.34079999999999999"/>
        <n v="0.83984999999999999"/>
        <n v="0.79100999999999999"/>
        <n v="0.71775"/>
        <n v="0.58498000000000006"/>
        <n v="0.47014"/>
        <n v="3.0470000000000101E-2"/>
        <n v="-3.0579999999999899E-2"/>
        <n v="0.90647999999999995"/>
        <n v="0.47352"/>
        <n v="0.20982000000000001"/>
        <n v="0.64451999999999998"/>
        <n v="0.78186"/>
        <n v="0.82181999999999999"/>
        <n v="0.96108000000000005"/>
        <n v="1.653"/>
        <n v="1.6269"/>
        <n v="0.95220000000000005"/>
        <n v="0.42480000000000001"/>
        <n v="0.88039999999999996"/>
        <n v="1.15344"/>
        <n v="0.74039999999999995"/>
        <n v="0.63192000000000004"/>
        <n v="0.59799999999999998"/>
        <n v="0.57640000000000002"/>
        <n v="0.54400000000000004"/>
        <n v="0.42775999999999997"/>
        <n v="0.35215999999999997"/>
        <n v="8.3800000000000992E-3"/>
        <n v="-1.8620000000000001E-2"/>
        <n v="1.2822816666666701"/>
        <n v="0.68230916666666697"/>
        <n v="0.27902666666666698"/>
        <n v="0.98455499999999996"/>
        <n v="1.25214916666667"/>
        <n v="1.2865741666666699"/>
        <n v="1.38802166666667"/>
        <n v="2.46783333333333"/>
        <n v="2.45431833333333"/>
        <n v="1.3600675"/>
        <n v="0.60421166666666704"/>
        <n v="0.80125000000000002"/>
        <n v="1.0649999999999999"/>
        <n v="0.66374999999999995"/>
        <n v="0.55500000000000005"/>
        <n v="7.5459999999999999E-2"/>
        <n v="-6.4019999999999799E-2"/>
        <n v="-0.27323999999999998"/>
        <n v="-0.18887000000000001"/>
        <n v="-0.38070999999999999"/>
        <n v="-0.31242750000000002"/>
        <n v="-0.48677749999999997"/>
        <n v="5.7510000000000297E-2"/>
        <n v="-1.210815"/>
        <n v="-1.6916850000000001"/>
        <n v="-0.65132999999999996"/>
        <n v="-1.4543550000000001"/>
        <n v="-1.283175"/>
        <n v="7.5149999999999897E-2"/>
        <n v="-7.6139999999999999E-2"/>
        <n v="-0.1782"/>
        <n v="0.74382000000000004"/>
        <n v="0.18088000000000001"/>
        <n v="-0.21690000000000001"/>
        <n v="5.0040000000000098E-2"/>
        <n v="-0.35189999999999999"/>
        <n v="-0.45467999999999997"/>
        <n v="0.20080000000000001"/>
        <n v="0.1154"/>
        <n v="-1.2700000000000201E-2"/>
        <n v="-1.9500000000000101E-2"/>
        <n v="-0.16719999999999999"/>
        <n v="-0.23630000000000001"/>
        <n v="-0.34305000000000002"/>
        <n v="0.27324666666666703"/>
        <n v="-0.88292333333333395"/>
        <n v="-1.2081758333333299"/>
        <n v="-0.26860000000000001"/>
        <n v="-0.755253333333334"/>
        <n v="-0.64636833333333399"/>
        <n v="0.290926666666667"/>
        <n v="0.62180333333333304"/>
        <n v="0.489458333333333"/>
        <n v="1.0804400000000001"/>
        <n v="0.340293333333334"/>
        <n v="-7.5208333333333294E-2"/>
        <n v="0.23313"/>
        <n v="-0.22562499999999999"/>
        <n v="-0.33468500000000001"/>
        <n v="0.34"/>
        <n v="0.29792000000000002"/>
        <n v="0.23480000000000001"/>
        <n v="0.23680000000000001"/>
        <n v="0.15071999999999999"/>
        <n v="-3.89200000000001E-2"/>
        <n v="-9.1520000000000101E-2"/>
        <n v="0.52324000000000004"/>
        <n v="0.16270000000000001"/>
        <n v="-0.13349"/>
        <n v="0.29627999999999999"/>
        <n v="0.26973999999999998"/>
        <n v="0.31707999999999997"/>
        <n v="0.58252000000000004"/>
        <n v="0.92630000000000001"/>
        <n v="0.91622000000000003"/>
        <n v="1.0729550000000001"/>
        <n v="0.455303333333333"/>
        <n v="0.48426666666666701"/>
        <n v="0.67647999999999997"/>
        <n v="0.37759999999999999"/>
        <n v="0.28704000000000002"/>
        <n v="0.14799999999999999"/>
        <n v="0.1452"/>
        <n v="0.14099999999999999"/>
        <n v="6.70400000000001E-2"/>
        <n v="3.8640000000000202E-2"/>
        <n v="-6.062E-2"/>
        <n v="-6.4119999999999996E-2"/>
        <n v="0.47263666666666698"/>
        <n v="-0.186398333333333"/>
        <n v="-0.39144083333333402"/>
        <n v="0.30042999999999997"/>
        <n v="0.32866166666666802"/>
        <n v="0.33548666666666699"/>
        <n v="0.53529666666666698"/>
        <n v="1.20780833333333"/>
        <n v="1.17699833333333"/>
        <n v="0.79496999999999995"/>
        <n v="0.30497999999999997"/>
        <n v="0.13250000000000001"/>
        <n v="0.39780000000000099"/>
        <n v="7.5000000000000101E-3"/>
        <n v="-7.8600000000000003E-2"/>
        <n v="0.81627000000000005"/>
        <n v="0.80506999999999995"/>
        <n v="0.78827000000000003"/>
        <n v="0.54257"/>
        <n v="0.48159999999999997"/>
        <n v="6.4837499999999895E-2"/>
        <n v="5.0837500000000001E-2"/>
        <n v="1.7897333333333301"/>
        <n v="1.0224133333333301"/>
        <n v="0.76993333333333402"/>
        <n v="1.43336"/>
        <n v="1.9249733333333301"/>
        <n v="1.94417333333333"/>
        <n v="1.8578933333333301"/>
        <n v="3.5105866666666699"/>
        <n v="3.4421866666666698"/>
        <n v="1.6576249999999999"/>
        <n v="0.755083333333333"/>
        <n v="0.98356666666666703"/>
        <n v="1.55762"/>
        <n v="0.76190000000000002"/>
        <n v="0.66100999999999999"/>
      </sharedItems>
    </cacheField>
    <cacheField name="Gross Profit per Average Order" numFmtId="173">
      <sharedItems containsSemiMixedTypes="0" containsString="0" containsNumber="1" minValue="0.266666666666667" maxValue="7.4666666666666703" count="74">
        <n v="1.2"/>
        <n v="0.8"/>
        <n v="0.4"/>
        <n v="2.2000000000000002"/>
        <n v="2.93333333333333"/>
        <n v="3.6666666666666701"/>
        <n v="1.4"/>
        <n v="0.7"/>
        <n v="1.6"/>
        <n v="2.1333333333333302"/>
        <n v="2.31"/>
        <n v="1.54"/>
        <n v="0.77"/>
        <n v="2.52"/>
        <n v="3.36"/>
        <n v="4.2"/>
        <n v="1.68"/>
        <n v="0.84"/>
        <n v="2.2400000000000002"/>
        <n v="1.76"/>
        <n v="1.17333333333333"/>
        <n v="0.586666666666667"/>
        <n v="3.74"/>
        <n v="4.9866666666666699"/>
        <n v="6.2333333333333298"/>
        <n v="2.42"/>
        <n v="1.21"/>
        <n v="1.65"/>
        <n v="1.98"/>
        <n v="1.32"/>
        <n v="0.66"/>
        <n v="3.24"/>
        <n v="4.32"/>
        <n v="5.4"/>
        <n v="1.26"/>
        <n v="1.62"/>
        <n v="2.16"/>
        <n v="1.9"/>
        <n v="1.2666666666666699"/>
        <n v="0.63333333333333297"/>
        <n v="3.23"/>
        <n v="4.3066666666666702"/>
        <n v="5.3833333333333302"/>
        <n v="3.04"/>
        <n v="1.52"/>
        <n v="1.8049999999999999"/>
        <n v="2.4066666666666698"/>
        <n v="1.28"/>
        <n v="0.85333333333333306"/>
        <n v="0.42666666666666703"/>
        <n v="1.92"/>
        <n v="2.56"/>
        <n v="3.2"/>
        <n v="2.08"/>
        <n v="1.04"/>
        <n v="1.7066666666666701"/>
        <n v="0.53333333333333299"/>
        <n v="0.266666666666667"/>
        <n v="2.6"/>
        <n v="3.4666666666666699"/>
        <n v="4.3333333333333304"/>
        <n v="1.8"/>
        <n v="0.9"/>
        <n v="1.5"/>
        <n v="2"/>
        <n v="1.96"/>
        <n v="1.30666666666667"/>
        <n v="0.65333333333333299"/>
        <n v="4.4800000000000004"/>
        <n v="5.9733333333333398"/>
        <n v="7.4666666666666703"/>
        <n v="2.8"/>
        <n v="2.66"/>
        <n v="3.54666666666667"/>
      </sharedItems>
    </cacheField>
    <cacheField name="Costs (with labor) per Average Order" numFmtId="173">
      <sharedItems containsSemiMixedTypes="0" containsString="0" containsNumber="1" minValue="0.327286666666667" maxValue="5.7743549999999999" count="176">
        <n v="0.87816000000000005"/>
        <n v="0.89376"/>
        <n v="0.91715999999999998"/>
        <n v="0.58496000000000004"/>
        <n v="0.64219999999999999"/>
        <n v="0.44029000000000001"/>
        <n v="0.45978999999999998"/>
        <n v="1.61439666666667"/>
        <n v="2.09042166666667"/>
        <n v="2.2918866666666702"/>
        <n v="1.80565"/>
        <n v="2.476375"/>
        <n v="2.4549249999999998"/>
        <n v="1.56511666666667"/>
        <n v="2.4306700000000001"/>
        <n v="2.47126"/>
        <n v="0.69223000000000001"/>
        <n v="0.40315333333333297"/>
        <n v="1.0154666666666701"/>
        <n v="1.3029333333333299"/>
        <n v="1.1488"/>
        <n v="1.2592000000000001"/>
        <n v="1.4701500000000001"/>
        <n v="1.5189900000000001"/>
        <n v="1.5922499999999999"/>
        <n v="0.95501999999999998"/>
        <n v="1.06986"/>
        <n v="0.73953000000000002"/>
        <n v="0.80057999999999996"/>
        <n v="1.6135200000000001"/>
        <n v="2.0464799999999999"/>
        <n v="2.3101799999999999"/>
        <n v="1.87548"/>
        <n v="2.5781399999999999"/>
        <n v="2.5381800000000001"/>
        <n v="1.5589200000000001"/>
        <n v="2.5470000000000002"/>
        <n v="2.5731000000000002"/>
        <n v="0.7278"/>
        <n v="0.41520000000000001"/>
        <n v="0.79959999999999998"/>
        <n v="1.08656"/>
        <n v="0.93959999999999999"/>
        <n v="1.0480799999999999"/>
        <n v="1.1619999999999999"/>
        <n v="1.1836"/>
        <n v="1.216"/>
        <n v="0.74557333333333398"/>
        <n v="0.82117333333333298"/>
        <n v="0.57828666666666695"/>
        <n v="0.60528666666666697"/>
        <n v="2.4577183333333301"/>
        <n v="3.0576908333333299"/>
        <n v="3.4609733333333299"/>
        <n v="2.7554449999999999"/>
        <n v="3.7345174999999999"/>
        <n v="3.7000924999999998"/>
        <n v="2.3519783333333302"/>
        <n v="3.7654999999999998"/>
        <n v="3.7790149999999998"/>
        <n v="1.0599324999999999"/>
        <n v="0.60578833333333404"/>
        <n v="0.84875"/>
        <n v="1.135"/>
        <n v="0.98624999999999996"/>
        <n v="1.095"/>
        <n v="1.9045399999999999"/>
        <n v="2.0440200000000002"/>
        <n v="2.2532399999999999"/>
        <n v="1.5088699999999999"/>
        <n v="1.7007099999999999"/>
        <n v="0.9724275"/>
        <n v="1.1467775"/>
        <n v="3.18249"/>
        <n v="4.4508150000000004"/>
        <n v="4.9316849999999999"/>
        <n v="3.89133"/>
        <n v="5.7743549999999999"/>
        <n v="5.6031750000000002"/>
        <n v="3.1648499999999999"/>
        <n v="5.47614"/>
        <n v="5.5781999999999998"/>
        <n v="1.7761800000000001"/>
        <n v="1.0791200000000001"/>
        <n v="1.8369"/>
        <n v="2.1099600000000001"/>
        <n v="1.9719"/>
        <n v="2.0746799999999999"/>
        <n v="1.6992"/>
        <n v="1.7846"/>
        <n v="1.9127000000000001"/>
        <n v="1.28616666666667"/>
        <n v="1.43386666666667"/>
        <n v="0.86963333333333304"/>
        <n v="0.97638333333333305"/>
        <n v="2.9567533333333298"/>
        <n v="4.1129233333333302"/>
        <n v="4.4381758333333297"/>
        <n v="3.4986000000000002"/>
        <n v="5.0619199999999998"/>
        <n v="4.9530349999999999"/>
        <n v="2.9390733333333299"/>
        <n v="4.7615299999999996"/>
        <n v="4.8938750000000004"/>
        <n v="1.95956"/>
        <n v="1.17970666666667"/>
        <n v="1.8802083333333299"/>
        <n v="2.1735366666666698"/>
        <n v="2.0306250000000001"/>
        <n v="2.1396850000000001"/>
        <n v="0.94"/>
        <n v="0.98207999999999995"/>
        <n v="1.0451999999999999"/>
        <n v="0.61653333333333404"/>
        <n v="0.70261333333333298"/>
        <n v="0.46558666666666698"/>
        <n v="0.51818666666666702"/>
        <n v="1.39676"/>
        <n v="1.7573000000000001"/>
        <n v="2.05349"/>
        <n v="1.6237200000000001"/>
        <n v="2.29026"/>
        <n v="2.2429199999999998"/>
        <n v="1.33748"/>
        <n v="2.2736999999999998"/>
        <n v="2.2837800000000001"/>
        <n v="1.007045"/>
        <n v="0.58469666666666698"/>
        <n v="0.79573333333333296"/>
        <n v="1.0301866666666699"/>
        <n v="0.90239999999999998"/>
        <n v="0.99295999999999995"/>
        <n v="0.65200000000000002"/>
        <n v="0.65480000000000005"/>
        <n v="0.65900000000000003"/>
        <n v="0.466293333333333"/>
        <n v="0.49469333333333299"/>
        <n v="0.327286666666667"/>
        <n v="0.33078666666666701"/>
        <n v="2.1273633333333302"/>
        <n v="2.78639833333333"/>
        <n v="2.9914408333333302"/>
        <n v="2.2995700000000001"/>
        <n v="3.1380050000000002"/>
        <n v="3.1311800000000001"/>
        <n v="2.06470333333333"/>
        <n v="3.1255250000000001"/>
        <n v="3.1563349999999999"/>
        <n v="1.0050300000000001"/>
        <n v="0.59501999999999999"/>
        <n v="1.3674999999999999"/>
        <n v="1.6022000000000001"/>
        <n v="1.4924999999999999"/>
        <n v="1.5786"/>
        <n v="1.1437299999999999"/>
        <n v="1.15493"/>
        <n v="1.1717299999999999"/>
        <n v="0.76409666666666698"/>
        <n v="0.82506666666666695"/>
        <n v="0.588495833333334"/>
        <n v="0.60249583333333301"/>
        <n v="2.6902666666666701"/>
        <n v="3.4575866666666699"/>
        <n v="3.7100666666666702"/>
        <n v="3.04664"/>
        <n v="4.0483599999999997"/>
        <n v="4.0291600000000001"/>
        <n v="2.6221066666666699"/>
        <n v="3.95608"/>
        <n v="4.0244799999999996"/>
        <n v="1.1423749999999999"/>
        <n v="0.64491666666666703"/>
        <n v="1.6764333333333299"/>
        <n v="1.98904666666667"/>
        <n v="1.8980999999999999"/>
        <n v="1.99899"/>
      </sharedItems>
    </cacheField>
    <cacheField name="Labour cost, $" numFmtId="173">
      <sharedItems containsSemiMixedTypes="0" containsString="0" containsNumber="1" minValue="8" maxValue="14" count="7">
        <n v="10"/>
        <n v="10.5"/>
        <n v="11"/>
        <n v="9"/>
        <n v="9.5"/>
        <n v="8"/>
        <n v="14"/>
      </sharedItems>
    </cacheField>
    <cacheField name="Labor costs per avg order" numFmtId="173">
      <sharedItems containsSemiMixedTypes="0" containsString="0" containsNumber="1" minValue="6.6666666666666693E-2" maxValue="1.4" count="47">
        <n v="0.5"/>
        <n v="0.16666666666666699"/>
        <n v="0.33333333333333298"/>
        <n v="0.66666666666666696"/>
        <n v="1"/>
        <n v="8.3333333333333301E-2"/>
        <n v="0.25"/>
        <n v="0.52500000000000002"/>
        <n v="0.17499999999999999"/>
        <n v="0.35"/>
        <n v="0.7"/>
        <n v="1.05"/>
        <n v="8.7499999999999994E-2"/>
        <n v="0.26250000000000001"/>
        <n v="0.55000000000000004"/>
        <n v="0.18333333333333299"/>
        <n v="0.36666666666666697"/>
        <n v="0.73333333333333295"/>
        <n v="1.1000000000000001"/>
        <n v="9.1666666666666702E-2"/>
        <n v="0.27500000000000002"/>
        <n v="0.45"/>
        <n v="0.15"/>
        <n v="0.3"/>
        <n v="0.6"/>
        <n v="0.9"/>
        <n v="7.4999999999999997E-2"/>
        <n v="0.22500000000000001"/>
        <n v="0.47499999999999998"/>
        <n v="0.15833333333333299"/>
        <n v="0.31666666666666698"/>
        <n v="0.63333333333333297"/>
        <n v="0.95"/>
        <n v="7.9166666666666705E-2"/>
        <n v="0.23749999999999999"/>
        <n v="0.4"/>
        <n v="0.133333333333333"/>
        <n v="0.266666666666667"/>
        <n v="0.53333333333333299"/>
        <n v="0.8"/>
        <n v="6.6666666666666693E-2"/>
        <n v="0.2"/>
        <n v="0.233333333333333"/>
        <n v="0.46666666666666701"/>
        <n v="0.93333333333333302"/>
        <n v="1.4"/>
        <n v="0.11666666666666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"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  <r>
    <x v="4294967295"/>
    <m/>
    <x v="4294967295"/>
    <x v="4294967295"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8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0"/>
    <x v="1"/>
    <x v="0"/>
    <x v="0"/>
    <x v="1"/>
    <x v="1"/>
    <x v="0"/>
    <x v="0"/>
    <x v="0"/>
    <x v="0"/>
    <x v="0"/>
    <x v="0"/>
    <x v="1"/>
    <x v="1"/>
    <x v="0"/>
    <x v="1"/>
    <x v="0"/>
    <x v="1"/>
    <x v="0"/>
    <x v="0"/>
  </r>
  <r>
    <x v="0"/>
    <x v="2"/>
    <x v="0"/>
    <x v="2"/>
    <x v="0"/>
    <x v="2"/>
    <x v="0"/>
    <x v="0"/>
    <x v="2"/>
    <x v="2"/>
    <x v="0"/>
    <x v="0"/>
    <x v="0"/>
    <x v="0"/>
    <x v="0"/>
    <x v="0"/>
    <x v="2"/>
    <x v="2"/>
    <x v="0"/>
    <x v="2"/>
    <x v="0"/>
    <x v="2"/>
    <x v="0"/>
    <x v="0"/>
  </r>
  <r>
    <x v="0"/>
    <x v="3"/>
    <x v="0"/>
    <x v="3"/>
    <x v="1"/>
    <x v="3"/>
    <x v="0"/>
    <x v="1"/>
    <x v="0"/>
    <x v="2"/>
    <x v="1"/>
    <x v="1"/>
    <x v="0"/>
    <x v="1"/>
    <x v="1"/>
    <x v="1"/>
    <x v="3"/>
    <x v="3"/>
    <x v="0"/>
    <x v="3"/>
    <x v="1"/>
    <x v="3"/>
    <x v="0"/>
    <x v="1"/>
  </r>
  <r>
    <x v="0"/>
    <x v="4"/>
    <x v="0"/>
    <x v="4"/>
    <x v="1"/>
    <x v="4"/>
    <x v="0"/>
    <x v="1"/>
    <x v="1"/>
    <x v="3"/>
    <x v="1"/>
    <x v="2"/>
    <x v="0"/>
    <x v="1"/>
    <x v="1"/>
    <x v="1"/>
    <x v="4"/>
    <x v="4"/>
    <x v="0"/>
    <x v="4"/>
    <x v="1"/>
    <x v="4"/>
    <x v="0"/>
    <x v="1"/>
  </r>
  <r>
    <x v="0"/>
    <x v="5"/>
    <x v="0"/>
    <x v="5"/>
    <x v="2"/>
    <x v="5"/>
    <x v="1"/>
    <x v="1"/>
    <x v="0"/>
    <x v="4"/>
    <x v="2"/>
    <x v="0"/>
    <x v="0"/>
    <x v="2"/>
    <x v="2"/>
    <x v="2"/>
    <x v="5"/>
    <x v="5"/>
    <x v="0"/>
    <x v="5"/>
    <x v="2"/>
    <x v="5"/>
    <x v="0"/>
    <x v="2"/>
  </r>
  <r>
    <x v="0"/>
    <x v="6"/>
    <x v="0"/>
    <x v="6"/>
    <x v="2"/>
    <x v="6"/>
    <x v="1"/>
    <x v="1"/>
    <x v="2"/>
    <x v="5"/>
    <x v="2"/>
    <x v="0"/>
    <x v="0"/>
    <x v="2"/>
    <x v="2"/>
    <x v="2"/>
    <x v="6"/>
    <x v="6"/>
    <x v="0"/>
    <x v="6"/>
    <x v="2"/>
    <x v="6"/>
    <x v="0"/>
    <x v="2"/>
  </r>
  <r>
    <x v="0"/>
    <x v="7"/>
    <x v="1"/>
    <x v="7"/>
    <x v="0"/>
    <x v="7"/>
    <x v="0"/>
    <x v="1"/>
    <x v="0"/>
    <x v="4"/>
    <x v="2"/>
    <x v="0"/>
    <x v="0"/>
    <x v="3"/>
    <x v="3"/>
    <x v="3"/>
    <x v="7"/>
    <x v="7"/>
    <x v="1"/>
    <x v="7"/>
    <x v="3"/>
    <x v="7"/>
    <x v="0"/>
    <x v="3"/>
  </r>
  <r>
    <x v="0"/>
    <x v="8"/>
    <x v="1"/>
    <x v="8"/>
    <x v="0"/>
    <x v="8"/>
    <x v="2"/>
    <x v="2"/>
    <x v="0"/>
    <x v="6"/>
    <x v="2"/>
    <x v="0"/>
    <x v="0"/>
    <x v="3"/>
    <x v="3"/>
    <x v="3"/>
    <x v="8"/>
    <x v="8"/>
    <x v="1"/>
    <x v="8"/>
    <x v="3"/>
    <x v="8"/>
    <x v="0"/>
    <x v="3"/>
  </r>
  <r>
    <x v="0"/>
    <x v="9"/>
    <x v="1"/>
    <x v="9"/>
    <x v="0"/>
    <x v="9"/>
    <x v="2"/>
    <x v="1"/>
    <x v="3"/>
    <x v="7"/>
    <x v="2"/>
    <x v="0"/>
    <x v="0"/>
    <x v="3"/>
    <x v="3"/>
    <x v="3"/>
    <x v="9"/>
    <x v="9"/>
    <x v="1"/>
    <x v="9"/>
    <x v="3"/>
    <x v="9"/>
    <x v="0"/>
    <x v="3"/>
  </r>
  <r>
    <x v="0"/>
    <x v="10"/>
    <x v="1"/>
    <x v="10"/>
    <x v="0"/>
    <x v="10"/>
    <x v="0"/>
    <x v="3"/>
    <x v="4"/>
    <x v="5"/>
    <x v="2"/>
    <x v="0"/>
    <x v="0"/>
    <x v="4"/>
    <x v="4"/>
    <x v="4"/>
    <x v="10"/>
    <x v="10"/>
    <x v="1"/>
    <x v="10"/>
    <x v="3"/>
    <x v="10"/>
    <x v="0"/>
    <x v="4"/>
  </r>
  <r>
    <x v="0"/>
    <x v="11"/>
    <x v="1"/>
    <x v="11"/>
    <x v="3"/>
    <x v="11"/>
    <x v="2"/>
    <x v="3"/>
    <x v="5"/>
    <x v="8"/>
    <x v="2"/>
    <x v="0"/>
    <x v="0"/>
    <x v="4"/>
    <x v="4"/>
    <x v="4"/>
    <x v="11"/>
    <x v="11"/>
    <x v="1"/>
    <x v="11"/>
    <x v="4"/>
    <x v="11"/>
    <x v="0"/>
    <x v="4"/>
  </r>
  <r>
    <x v="0"/>
    <x v="12"/>
    <x v="1"/>
    <x v="12"/>
    <x v="3"/>
    <x v="12"/>
    <x v="2"/>
    <x v="3"/>
    <x v="2"/>
    <x v="9"/>
    <x v="2"/>
    <x v="0"/>
    <x v="0"/>
    <x v="4"/>
    <x v="4"/>
    <x v="4"/>
    <x v="12"/>
    <x v="12"/>
    <x v="1"/>
    <x v="12"/>
    <x v="4"/>
    <x v="12"/>
    <x v="0"/>
    <x v="4"/>
  </r>
  <r>
    <x v="0"/>
    <x v="13"/>
    <x v="1"/>
    <x v="13"/>
    <x v="0"/>
    <x v="7"/>
    <x v="0"/>
    <x v="1"/>
    <x v="0"/>
    <x v="4"/>
    <x v="2"/>
    <x v="0"/>
    <x v="0"/>
    <x v="3"/>
    <x v="3"/>
    <x v="3"/>
    <x v="7"/>
    <x v="7"/>
    <x v="1"/>
    <x v="7"/>
    <x v="3"/>
    <x v="7"/>
    <x v="0"/>
    <x v="3"/>
  </r>
  <r>
    <x v="0"/>
    <x v="14"/>
    <x v="1"/>
    <x v="14"/>
    <x v="0"/>
    <x v="13"/>
    <x v="0"/>
    <x v="3"/>
    <x v="0"/>
    <x v="10"/>
    <x v="2"/>
    <x v="0"/>
    <x v="0"/>
    <x v="3"/>
    <x v="3"/>
    <x v="3"/>
    <x v="13"/>
    <x v="13"/>
    <x v="1"/>
    <x v="13"/>
    <x v="3"/>
    <x v="13"/>
    <x v="0"/>
    <x v="3"/>
  </r>
  <r>
    <x v="0"/>
    <x v="15"/>
    <x v="1"/>
    <x v="15"/>
    <x v="4"/>
    <x v="14"/>
    <x v="2"/>
    <x v="0"/>
    <x v="2"/>
    <x v="11"/>
    <x v="0"/>
    <x v="2"/>
    <x v="0"/>
    <x v="4"/>
    <x v="4"/>
    <x v="4"/>
    <x v="14"/>
    <x v="14"/>
    <x v="1"/>
    <x v="14"/>
    <x v="5"/>
    <x v="14"/>
    <x v="0"/>
    <x v="4"/>
  </r>
  <r>
    <x v="0"/>
    <x v="16"/>
    <x v="1"/>
    <x v="16"/>
    <x v="4"/>
    <x v="15"/>
    <x v="2"/>
    <x v="1"/>
    <x v="2"/>
    <x v="11"/>
    <x v="0"/>
    <x v="3"/>
    <x v="0"/>
    <x v="4"/>
    <x v="4"/>
    <x v="4"/>
    <x v="15"/>
    <x v="15"/>
    <x v="1"/>
    <x v="15"/>
    <x v="5"/>
    <x v="15"/>
    <x v="0"/>
    <x v="4"/>
  </r>
  <r>
    <x v="0"/>
    <x v="17"/>
    <x v="2"/>
    <x v="17"/>
    <x v="0"/>
    <x v="16"/>
    <x v="3"/>
    <x v="3"/>
    <x v="0"/>
    <x v="7"/>
    <x v="0"/>
    <x v="2"/>
    <x v="0"/>
    <x v="0"/>
    <x v="0"/>
    <x v="0"/>
    <x v="16"/>
    <x v="16"/>
    <x v="2"/>
    <x v="16"/>
    <x v="6"/>
    <x v="16"/>
    <x v="0"/>
    <x v="0"/>
  </r>
  <r>
    <x v="0"/>
    <x v="18"/>
    <x v="2"/>
    <x v="18"/>
    <x v="0"/>
    <x v="16"/>
    <x v="3"/>
    <x v="3"/>
    <x v="0"/>
    <x v="7"/>
    <x v="0"/>
    <x v="2"/>
    <x v="0"/>
    <x v="0"/>
    <x v="0"/>
    <x v="0"/>
    <x v="16"/>
    <x v="16"/>
    <x v="2"/>
    <x v="16"/>
    <x v="6"/>
    <x v="16"/>
    <x v="0"/>
    <x v="0"/>
  </r>
  <r>
    <x v="0"/>
    <x v="19"/>
    <x v="2"/>
    <x v="19"/>
    <x v="5"/>
    <x v="17"/>
    <x v="1"/>
    <x v="3"/>
    <x v="0"/>
    <x v="7"/>
    <x v="0"/>
    <x v="2"/>
    <x v="0"/>
    <x v="1"/>
    <x v="1"/>
    <x v="1"/>
    <x v="17"/>
    <x v="17"/>
    <x v="2"/>
    <x v="17"/>
    <x v="7"/>
    <x v="17"/>
    <x v="0"/>
    <x v="1"/>
  </r>
  <r>
    <x v="0"/>
    <x v="20"/>
    <x v="3"/>
    <x v="20"/>
    <x v="5"/>
    <x v="18"/>
    <x v="0"/>
    <x v="0"/>
    <x v="0"/>
    <x v="12"/>
    <x v="3"/>
    <x v="4"/>
    <x v="0"/>
    <x v="5"/>
    <x v="5"/>
    <x v="5"/>
    <x v="18"/>
    <x v="18"/>
    <x v="3"/>
    <x v="18"/>
    <x v="8"/>
    <x v="18"/>
    <x v="0"/>
    <x v="5"/>
  </r>
  <r>
    <x v="0"/>
    <x v="21"/>
    <x v="3"/>
    <x v="21"/>
    <x v="5"/>
    <x v="18"/>
    <x v="0"/>
    <x v="0"/>
    <x v="0"/>
    <x v="12"/>
    <x v="3"/>
    <x v="4"/>
    <x v="0"/>
    <x v="5"/>
    <x v="5"/>
    <x v="5"/>
    <x v="18"/>
    <x v="18"/>
    <x v="3"/>
    <x v="18"/>
    <x v="8"/>
    <x v="18"/>
    <x v="0"/>
    <x v="5"/>
  </r>
  <r>
    <x v="0"/>
    <x v="22"/>
    <x v="3"/>
    <x v="22"/>
    <x v="1"/>
    <x v="19"/>
    <x v="0"/>
    <x v="0"/>
    <x v="0"/>
    <x v="11"/>
    <x v="4"/>
    <x v="4"/>
    <x v="0"/>
    <x v="1"/>
    <x v="1"/>
    <x v="1"/>
    <x v="19"/>
    <x v="19"/>
    <x v="3"/>
    <x v="19"/>
    <x v="9"/>
    <x v="19"/>
    <x v="0"/>
    <x v="1"/>
  </r>
  <r>
    <x v="0"/>
    <x v="23"/>
    <x v="3"/>
    <x v="23"/>
    <x v="1"/>
    <x v="19"/>
    <x v="0"/>
    <x v="0"/>
    <x v="0"/>
    <x v="11"/>
    <x v="4"/>
    <x v="4"/>
    <x v="0"/>
    <x v="1"/>
    <x v="1"/>
    <x v="1"/>
    <x v="19"/>
    <x v="19"/>
    <x v="3"/>
    <x v="19"/>
    <x v="9"/>
    <x v="19"/>
    <x v="0"/>
    <x v="1"/>
  </r>
  <r>
    <x v="0"/>
    <x v="24"/>
    <x v="3"/>
    <x v="24"/>
    <x v="5"/>
    <x v="20"/>
    <x v="0"/>
    <x v="0"/>
    <x v="0"/>
    <x v="12"/>
    <x v="3"/>
    <x v="4"/>
    <x v="0"/>
    <x v="6"/>
    <x v="6"/>
    <x v="6"/>
    <x v="20"/>
    <x v="20"/>
    <x v="3"/>
    <x v="20"/>
    <x v="8"/>
    <x v="20"/>
    <x v="0"/>
    <x v="6"/>
  </r>
  <r>
    <x v="0"/>
    <x v="25"/>
    <x v="3"/>
    <x v="25"/>
    <x v="5"/>
    <x v="21"/>
    <x v="0"/>
    <x v="0"/>
    <x v="0"/>
    <x v="13"/>
    <x v="5"/>
    <x v="4"/>
    <x v="0"/>
    <x v="6"/>
    <x v="6"/>
    <x v="6"/>
    <x v="21"/>
    <x v="21"/>
    <x v="3"/>
    <x v="21"/>
    <x v="8"/>
    <x v="21"/>
    <x v="0"/>
    <x v="6"/>
  </r>
  <r>
    <x v="1"/>
    <x v="26"/>
    <x v="0"/>
    <x v="0"/>
    <x v="6"/>
    <x v="22"/>
    <x v="0"/>
    <x v="0"/>
    <x v="0"/>
    <x v="0"/>
    <x v="0"/>
    <x v="0"/>
    <x v="0"/>
    <x v="0"/>
    <x v="0"/>
    <x v="0"/>
    <x v="22"/>
    <x v="22"/>
    <x v="1"/>
    <x v="22"/>
    <x v="10"/>
    <x v="22"/>
    <x v="1"/>
    <x v="7"/>
  </r>
  <r>
    <x v="1"/>
    <x v="27"/>
    <x v="0"/>
    <x v="1"/>
    <x v="6"/>
    <x v="23"/>
    <x v="0"/>
    <x v="0"/>
    <x v="1"/>
    <x v="1"/>
    <x v="0"/>
    <x v="0"/>
    <x v="0"/>
    <x v="0"/>
    <x v="0"/>
    <x v="0"/>
    <x v="23"/>
    <x v="23"/>
    <x v="1"/>
    <x v="23"/>
    <x v="10"/>
    <x v="23"/>
    <x v="1"/>
    <x v="7"/>
  </r>
  <r>
    <x v="1"/>
    <x v="28"/>
    <x v="0"/>
    <x v="2"/>
    <x v="6"/>
    <x v="24"/>
    <x v="0"/>
    <x v="0"/>
    <x v="2"/>
    <x v="2"/>
    <x v="0"/>
    <x v="0"/>
    <x v="0"/>
    <x v="0"/>
    <x v="0"/>
    <x v="0"/>
    <x v="24"/>
    <x v="24"/>
    <x v="1"/>
    <x v="24"/>
    <x v="10"/>
    <x v="24"/>
    <x v="1"/>
    <x v="7"/>
  </r>
  <r>
    <x v="1"/>
    <x v="29"/>
    <x v="0"/>
    <x v="3"/>
    <x v="7"/>
    <x v="25"/>
    <x v="0"/>
    <x v="1"/>
    <x v="0"/>
    <x v="2"/>
    <x v="1"/>
    <x v="1"/>
    <x v="0"/>
    <x v="1"/>
    <x v="1"/>
    <x v="1"/>
    <x v="25"/>
    <x v="25"/>
    <x v="1"/>
    <x v="25"/>
    <x v="11"/>
    <x v="25"/>
    <x v="1"/>
    <x v="8"/>
  </r>
  <r>
    <x v="1"/>
    <x v="30"/>
    <x v="0"/>
    <x v="4"/>
    <x v="7"/>
    <x v="26"/>
    <x v="0"/>
    <x v="1"/>
    <x v="1"/>
    <x v="3"/>
    <x v="1"/>
    <x v="2"/>
    <x v="0"/>
    <x v="1"/>
    <x v="1"/>
    <x v="1"/>
    <x v="26"/>
    <x v="26"/>
    <x v="1"/>
    <x v="26"/>
    <x v="11"/>
    <x v="26"/>
    <x v="1"/>
    <x v="8"/>
  </r>
  <r>
    <x v="1"/>
    <x v="31"/>
    <x v="0"/>
    <x v="5"/>
    <x v="8"/>
    <x v="27"/>
    <x v="1"/>
    <x v="1"/>
    <x v="0"/>
    <x v="4"/>
    <x v="2"/>
    <x v="0"/>
    <x v="0"/>
    <x v="2"/>
    <x v="2"/>
    <x v="2"/>
    <x v="27"/>
    <x v="27"/>
    <x v="1"/>
    <x v="27"/>
    <x v="12"/>
    <x v="27"/>
    <x v="1"/>
    <x v="9"/>
  </r>
  <r>
    <x v="1"/>
    <x v="32"/>
    <x v="0"/>
    <x v="6"/>
    <x v="8"/>
    <x v="28"/>
    <x v="1"/>
    <x v="1"/>
    <x v="2"/>
    <x v="5"/>
    <x v="2"/>
    <x v="0"/>
    <x v="0"/>
    <x v="2"/>
    <x v="2"/>
    <x v="2"/>
    <x v="28"/>
    <x v="28"/>
    <x v="1"/>
    <x v="28"/>
    <x v="12"/>
    <x v="28"/>
    <x v="1"/>
    <x v="9"/>
  </r>
  <r>
    <x v="1"/>
    <x v="33"/>
    <x v="1"/>
    <x v="7"/>
    <x v="6"/>
    <x v="29"/>
    <x v="0"/>
    <x v="1"/>
    <x v="0"/>
    <x v="4"/>
    <x v="2"/>
    <x v="0"/>
    <x v="0"/>
    <x v="3"/>
    <x v="3"/>
    <x v="3"/>
    <x v="29"/>
    <x v="29"/>
    <x v="4"/>
    <x v="29"/>
    <x v="13"/>
    <x v="29"/>
    <x v="1"/>
    <x v="10"/>
  </r>
  <r>
    <x v="1"/>
    <x v="34"/>
    <x v="1"/>
    <x v="8"/>
    <x v="6"/>
    <x v="30"/>
    <x v="2"/>
    <x v="2"/>
    <x v="0"/>
    <x v="6"/>
    <x v="2"/>
    <x v="0"/>
    <x v="0"/>
    <x v="3"/>
    <x v="3"/>
    <x v="3"/>
    <x v="30"/>
    <x v="30"/>
    <x v="4"/>
    <x v="30"/>
    <x v="13"/>
    <x v="30"/>
    <x v="1"/>
    <x v="10"/>
  </r>
  <r>
    <x v="1"/>
    <x v="35"/>
    <x v="1"/>
    <x v="9"/>
    <x v="6"/>
    <x v="31"/>
    <x v="2"/>
    <x v="1"/>
    <x v="3"/>
    <x v="7"/>
    <x v="2"/>
    <x v="0"/>
    <x v="0"/>
    <x v="3"/>
    <x v="3"/>
    <x v="3"/>
    <x v="31"/>
    <x v="31"/>
    <x v="4"/>
    <x v="31"/>
    <x v="13"/>
    <x v="31"/>
    <x v="1"/>
    <x v="10"/>
  </r>
  <r>
    <x v="1"/>
    <x v="36"/>
    <x v="1"/>
    <x v="10"/>
    <x v="6"/>
    <x v="32"/>
    <x v="0"/>
    <x v="3"/>
    <x v="4"/>
    <x v="5"/>
    <x v="2"/>
    <x v="0"/>
    <x v="0"/>
    <x v="4"/>
    <x v="4"/>
    <x v="4"/>
    <x v="32"/>
    <x v="32"/>
    <x v="4"/>
    <x v="32"/>
    <x v="13"/>
    <x v="32"/>
    <x v="1"/>
    <x v="11"/>
  </r>
  <r>
    <x v="1"/>
    <x v="37"/>
    <x v="1"/>
    <x v="11"/>
    <x v="9"/>
    <x v="33"/>
    <x v="2"/>
    <x v="3"/>
    <x v="5"/>
    <x v="8"/>
    <x v="2"/>
    <x v="0"/>
    <x v="0"/>
    <x v="4"/>
    <x v="4"/>
    <x v="4"/>
    <x v="33"/>
    <x v="33"/>
    <x v="4"/>
    <x v="33"/>
    <x v="14"/>
    <x v="33"/>
    <x v="1"/>
    <x v="11"/>
  </r>
  <r>
    <x v="1"/>
    <x v="38"/>
    <x v="1"/>
    <x v="12"/>
    <x v="9"/>
    <x v="34"/>
    <x v="2"/>
    <x v="3"/>
    <x v="2"/>
    <x v="9"/>
    <x v="2"/>
    <x v="0"/>
    <x v="0"/>
    <x v="4"/>
    <x v="4"/>
    <x v="4"/>
    <x v="34"/>
    <x v="34"/>
    <x v="4"/>
    <x v="34"/>
    <x v="14"/>
    <x v="34"/>
    <x v="1"/>
    <x v="11"/>
  </r>
  <r>
    <x v="1"/>
    <x v="39"/>
    <x v="1"/>
    <x v="13"/>
    <x v="6"/>
    <x v="29"/>
    <x v="0"/>
    <x v="1"/>
    <x v="0"/>
    <x v="4"/>
    <x v="2"/>
    <x v="0"/>
    <x v="0"/>
    <x v="3"/>
    <x v="3"/>
    <x v="3"/>
    <x v="29"/>
    <x v="29"/>
    <x v="4"/>
    <x v="29"/>
    <x v="13"/>
    <x v="29"/>
    <x v="1"/>
    <x v="10"/>
  </r>
  <r>
    <x v="1"/>
    <x v="40"/>
    <x v="1"/>
    <x v="14"/>
    <x v="6"/>
    <x v="35"/>
    <x v="0"/>
    <x v="3"/>
    <x v="0"/>
    <x v="10"/>
    <x v="2"/>
    <x v="0"/>
    <x v="0"/>
    <x v="3"/>
    <x v="3"/>
    <x v="3"/>
    <x v="35"/>
    <x v="35"/>
    <x v="4"/>
    <x v="35"/>
    <x v="13"/>
    <x v="35"/>
    <x v="1"/>
    <x v="10"/>
  </r>
  <r>
    <x v="1"/>
    <x v="41"/>
    <x v="1"/>
    <x v="15"/>
    <x v="10"/>
    <x v="36"/>
    <x v="2"/>
    <x v="0"/>
    <x v="2"/>
    <x v="11"/>
    <x v="0"/>
    <x v="2"/>
    <x v="0"/>
    <x v="4"/>
    <x v="4"/>
    <x v="4"/>
    <x v="36"/>
    <x v="36"/>
    <x v="4"/>
    <x v="36"/>
    <x v="15"/>
    <x v="36"/>
    <x v="1"/>
    <x v="11"/>
  </r>
  <r>
    <x v="1"/>
    <x v="42"/>
    <x v="1"/>
    <x v="16"/>
    <x v="10"/>
    <x v="37"/>
    <x v="2"/>
    <x v="1"/>
    <x v="2"/>
    <x v="11"/>
    <x v="0"/>
    <x v="3"/>
    <x v="0"/>
    <x v="4"/>
    <x v="4"/>
    <x v="4"/>
    <x v="37"/>
    <x v="37"/>
    <x v="4"/>
    <x v="37"/>
    <x v="15"/>
    <x v="37"/>
    <x v="1"/>
    <x v="11"/>
  </r>
  <r>
    <x v="1"/>
    <x v="43"/>
    <x v="2"/>
    <x v="17"/>
    <x v="6"/>
    <x v="38"/>
    <x v="3"/>
    <x v="3"/>
    <x v="0"/>
    <x v="7"/>
    <x v="0"/>
    <x v="2"/>
    <x v="0"/>
    <x v="0"/>
    <x v="0"/>
    <x v="0"/>
    <x v="38"/>
    <x v="38"/>
    <x v="5"/>
    <x v="38"/>
    <x v="16"/>
    <x v="38"/>
    <x v="1"/>
    <x v="7"/>
  </r>
  <r>
    <x v="1"/>
    <x v="44"/>
    <x v="2"/>
    <x v="18"/>
    <x v="6"/>
    <x v="38"/>
    <x v="3"/>
    <x v="3"/>
    <x v="0"/>
    <x v="7"/>
    <x v="0"/>
    <x v="2"/>
    <x v="0"/>
    <x v="0"/>
    <x v="0"/>
    <x v="0"/>
    <x v="38"/>
    <x v="38"/>
    <x v="5"/>
    <x v="38"/>
    <x v="16"/>
    <x v="38"/>
    <x v="1"/>
    <x v="7"/>
  </r>
  <r>
    <x v="1"/>
    <x v="45"/>
    <x v="2"/>
    <x v="19"/>
    <x v="11"/>
    <x v="39"/>
    <x v="1"/>
    <x v="3"/>
    <x v="0"/>
    <x v="7"/>
    <x v="0"/>
    <x v="2"/>
    <x v="0"/>
    <x v="1"/>
    <x v="1"/>
    <x v="1"/>
    <x v="39"/>
    <x v="39"/>
    <x v="5"/>
    <x v="39"/>
    <x v="17"/>
    <x v="39"/>
    <x v="1"/>
    <x v="8"/>
  </r>
  <r>
    <x v="1"/>
    <x v="46"/>
    <x v="3"/>
    <x v="20"/>
    <x v="11"/>
    <x v="40"/>
    <x v="0"/>
    <x v="0"/>
    <x v="0"/>
    <x v="12"/>
    <x v="3"/>
    <x v="4"/>
    <x v="0"/>
    <x v="5"/>
    <x v="5"/>
    <x v="5"/>
    <x v="40"/>
    <x v="40"/>
    <x v="3"/>
    <x v="40"/>
    <x v="16"/>
    <x v="40"/>
    <x v="1"/>
    <x v="12"/>
  </r>
  <r>
    <x v="1"/>
    <x v="47"/>
    <x v="3"/>
    <x v="21"/>
    <x v="11"/>
    <x v="40"/>
    <x v="0"/>
    <x v="0"/>
    <x v="0"/>
    <x v="12"/>
    <x v="3"/>
    <x v="4"/>
    <x v="0"/>
    <x v="5"/>
    <x v="5"/>
    <x v="5"/>
    <x v="40"/>
    <x v="40"/>
    <x v="3"/>
    <x v="40"/>
    <x v="16"/>
    <x v="40"/>
    <x v="1"/>
    <x v="12"/>
  </r>
  <r>
    <x v="1"/>
    <x v="48"/>
    <x v="3"/>
    <x v="22"/>
    <x v="7"/>
    <x v="41"/>
    <x v="0"/>
    <x v="0"/>
    <x v="0"/>
    <x v="11"/>
    <x v="4"/>
    <x v="4"/>
    <x v="0"/>
    <x v="1"/>
    <x v="1"/>
    <x v="1"/>
    <x v="41"/>
    <x v="41"/>
    <x v="3"/>
    <x v="41"/>
    <x v="18"/>
    <x v="41"/>
    <x v="1"/>
    <x v="8"/>
  </r>
  <r>
    <x v="1"/>
    <x v="49"/>
    <x v="3"/>
    <x v="23"/>
    <x v="7"/>
    <x v="41"/>
    <x v="0"/>
    <x v="0"/>
    <x v="0"/>
    <x v="11"/>
    <x v="4"/>
    <x v="4"/>
    <x v="0"/>
    <x v="1"/>
    <x v="1"/>
    <x v="1"/>
    <x v="41"/>
    <x v="41"/>
    <x v="3"/>
    <x v="41"/>
    <x v="18"/>
    <x v="41"/>
    <x v="1"/>
    <x v="8"/>
  </r>
  <r>
    <x v="1"/>
    <x v="50"/>
    <x v="3"/>
    <x v="24"/>
    <x v="11"/>
    <x v="42"/>
    <x v="0"/>
    <x v="0"/>
    <x v="0"/>
    <x v="12"/>
    <x v="3"/>
    <x v="4"/>
    <x v="0"/>
    <x v="6"/>
    <x v="6"/>
    <x v="6"/>
    <x v="42"/>
    <x v="42"/>
    <x v="3"/>
    <x v="42"/>
    <x v="16"/>
    <x v="42"/>
    <x v="1"/>
    <x v="13"/>
  </r>
  <r>
    <x v="1"/>
    <x v="51"/>
    <x v="3"/>
    <x v="25"/>
    <x v="11"/>
    <x v="43"/>
    <x v="0"/>
    <x v="0"/>
    <x v="0"/>
    <x v="13"/>
    <x v="5"/>
    <x v="4"/>
    <x v="0"/>
    <x v="6"/>
    <x v="6"/>
    <x v="6"/>
    <x v="43"/>
    <x v="43"/>
    <x v="3"/>
    <x v="43"/>
    <x v="16"/>
    <x v="43"/>
    <x v="1"/>
    <x v="13"/>
  </r>
  <r>
    <x v="2"/>
    <x v="52"/>
    <x v="0"/>
    <x v="0"/>
    <x v="12"/>
    <x v="44"/>
    <x v="0"/>
    <x v="0"/>
    <x v="0"/>
    <x v="0"/>
    <x v="0"/>
    <x v="0"/>
    <x v="0"/>
    <x v="0"/>
    <x v="0"/>
    <x v="0"/>
    <x v="44"/>
    <x v="44"/>
    <x v="5"/>
    <x v="44"/>
    <x v="19"/>
    <x v="44"/>
    <x v="2"/>
    <x v="14"/>
  </r>
  <r>
    <x v="2"/>
    <x v="53"/>
    <x v="0"/>
    <x v="1"/>
    <x v="12"/>
    <x v="45"/>
    <x v="0"/>
    <x v="0"/>
    <x v="1"/>
    <x v="1"/>
    <x v="0"/>
    <x v="0"/>
    <x v="0"/>
    <x v="0"/>
    <x v="0"/>
    <x v="0"/>
    <x v="45"/>
    <x v="45"/>
    <x v="5"/>
    <x v="45"/>
    <x v="19"/>
    <x v="45"/>
    <x v="2"/>
    <x v="14"/>
  </r>
  <r>
    <x v="2"/>
    <x v="54"/>
    <x v="0"/>
    <x v="2"/>
    <x v="12"/>
    <x v="46"/>
    <x v="0"/>
    <x v="0"/>
    <x v="2"/>
    <x v="2"/>
    <x v="0"/>
    <x v="0"/>
    <x v="0"/>
    <x v="0"/>
    <x v="0"/>
    <x v="0"/>
    <x v="46"/>
    <x v="46"/>
    <x v="5"/>
    <x v="46"/>
    <x v="19"/>
    <x v="46"/>
    <x v="2"/>
    <x v="14"/>
  </r>
  <r>
    <x v="2"/>
    <x v="55"/>
    <x v="0"/>
    <x v="3"/>
    <x v="13"/>
    <x v="47"/>
    <x v="0"/>
    <x v="1"/>
    <x v="0"/>
    <x v="2"/>
    <x v="1"/>
    <x v="1"/>
    <x v="0"/>
    <x v="1"/>
    <x v="1"/>
    <x v="1"/>
    <x v="47"/>
    <x v="47"/>
    <x v="5"/>
    <x v="47"/>
    <x v="20"/>
    <x v="47"/>
    <x v="2"/>
    <x v="15"/>
  </r>
  <r>
    <x v="2"/>
    <x v="56"/>
    <x v="0"/>
    <x v="4"/>
    <x v="13"/>
    <x v="48"/>
    <x v="0"/>
    <x v="1"/>
    <x v="1"/>
    <x v="3"/>
    <x v="1"/>
    <x v="2"/>
    <x v="0"/>
    <x v="1"/>
    <x v="1"/>
    <x v="1"/>
    <x v="48"/>
    <x v="48"/>
    <x v="5"/>
    <x v="48"/>
    <x v="20"/>
    <x v="48"/>
    <x v="2"/>
    <x v="15"/>
  </r>
  <r>
    <x v="2"/>
    <x v="57"/>
    <x v="0"/>
    <x v="5"/>
    <x v="14"/>
    <x v="49"/>
    <x v="1"/>
    <x v="1"/>
    <x v="0"/>
    <x v="4"/>
    <x v="2"/>
    <x v="0"/>
    <x v="0"/>
    <x v="2"/>
    <x v="2"/>
    <x v="2"/>
    <x v="49"/>
    <x v="49"/>
    <x v="5"/>
    <x v="49"/>
    <x v="21"/>
    <x v="49"/>
    <x v="2"/>
    <x v="16"/>
  </r>
  <r>
    <x v="2"/>
    <x v="58"/>
    <x v="0"/>
    <x v="6"/>
    <x v="14"/>
    <x v="50"/>
    <x v="1"/>
    <x v="1"/>
    <x v="2"/>
    <x v="5"/>
    <x v="2"/>
    <x v="0"/>
    <x v="0"/>
    <x v="2"/>
    <x v="2"/>
    <x v="2"/>
    <x v="50"/>
    <x v="50"/>
    <x v="5"/>
    <x v="50"/>
    <x v="21"/>
    <x v="50"/>
    <x v="2"/>
    <x v="16"/>
  </r>
  <r>
    <x v="2"/>
    <x v="59"/>
    <x v="1"/>
    <x v="7"/>
    <x v="12"/>
    <x v="51"/>
    <x v="0"/>
    <x v="1"/>
    <x v="0"/>
    <x v="4"/>
    <x v="2"/>
    <x v="0"/>
    <x v="0"/>
    <x v="3"/>
    <x v="3"/>
    <x v="3"/>
    <x v="51"/>
    <x v="51"/>
    <x v="6"/>
    <x v="51"/>
    <x v="22"/>
    <x v="51"/>
    <x v="2"/>
    <x v="17"/>
  </r>
  <r>
    <x v="2"/>
    <x v="60"/>
    <x v="1"/>
    <x v="8"/>
    <x v="12"/>
    <x v="52"/>
    <x v="2"/>
    <x v="2"/>
    <x v="0"/>
    <x v="6"/>
    <x v="2"/>
    <x v="0"/>
    <x v="0"/>
    <x v="3"/>
    <x v="3"/>
    <x v="3"/>
    <x v="52"/>
    <x v="52"/>
    <x v="6"/>
    <x v="52"/>
    <x v="22"/>
    <x v="52"/>
    <x v="2"/>
    <x v="17"/>
  </r>
  <r>
    <x v="2"/>
    <x v="61"/>
    <x v="1"/>
    <x v="9"/>
    <x v="12"/>
    <x v="53"/>
    <x v="2"/>
    <x v="1"/>
    <x v="3"/>
    <x v="7"/>
    <x v="2"/>
    <x v="0"/>
    <x v="0"/>
    <x v="3"/>
    <x v="3"/>
    <x v="3"/>
    <x v="53"/>
    <x v="53"/>
    <x v="6"/>
    <x v="53"/>
    <x v="22"/>
    <x v="53"/>
    <x v="2"/>
    <x v="17"/>
  </r>
  <r>
    <x v="2"/>
    <x v="62"/>
    <x v="1"/>
    <x v="10"/>
    <x v="12"/>
    <x v="54"/>
    <x v="0"/>
    <x v="3"/>
    <x v="4"/>
    <x v="5"/>
    <x v="2"/>
    <x v="0"/>
    <x v="0"/>
    <x v="4"/>
    <x v="4"/>
    <x v="4"/>
    <x v="54"/>
    <x v="54"/>
    <x v="6"/>
    <x v="54"/>
    <x v="22"/>
    <x v="54"/>
    <x v="2"/>
    <x v="18"/>
  </r>
  <r>
    <x v="2"/>
    <x v="63"/>
    <x v="1"/>
    <x v="11"/>
    <x v="15"/>
    <x v="55"/>
    <x v="2"/>
    <x v="3"/>
    <x v="5"/>
    <x v="8"/>
    <x v="2"/>
    <x v="0"/>
    <x v="0"/>
    <x v="4"/>
    <x v="4"/>
    <x v="4"/>
    <x v="55"/>
    <x v="55"/>
    <x v="6"/>
    <x v="55"/>
    <x v="23"/>
    <x v="55"/>
    <x v="2"/>
    <x v="18"/>
  </r>
  <r>
    <x v="2"/>
    <x v="64"/>
    <x v="1"/>
    <x v="12"/>
    <x v="15"/>
    <x v="56"/>
    <x v="2"/>
    <x v="3"/>
    <x v="2"/>
    <x v="9"/>
    <x v="2"/>
    <x v="0"/>
    <x v="0"/>
    <x v="4"/>
    <x v="4"/>
    <x v="4"/>
    <x v="56"/>
    <x v="56"/>
    <x v="6"/>
    <x v="56"/>
    <x v="23"/>
    <x v="56"/>
    <x v="2"/>
    <x v="18"/>
  </r>
  <r>
    <x v="2"/>
    <x v="65"/>
    <x v="1"/>
    <x v="13"/>
    <x v="12"/>
    <x v="51"/>
    <x v="0"/>
    <x v="1"/>
    <x v="0"/>
    <x v="4"/>
    <x v="2"/>
    <x v="0"/>
    <x v="0"/>
    <x v="3"/>
    <x v="3"/>
    <x v="3"/>
    <x v="51"/>
    <x v="51"/>
    <x v="6"/>
    <x v="51"/>
    <x v="22"/>
    <x v="51"/>
    <x v="2"/>
    <x v="17"/>
  </r>
  <r>
    <x v="2"/>
    <x v="66"/>
    <x v="1"/>
    <x v="14"/>
    <x v="12"/>
    <x v="57"/>
    <x v="0"/>
    <x v="3"/>
    <x v="0"/>
    <x v="10"/>
    <x v="2"/>
    <x v="0"/>
    <x v="0"/>
    <x v="3"/>
    <x v="3"/>
    <x v="3"/>
    <x v="57"/>
    <x v="57"/>
    <x v="6"/>
    <x v="57"/>
    <x v="22"/>
    <x v="57"/>
    <x v="2"/>
    <x v="17"/>
  </r>
  <r>
    <x v="2"/>
    <x v="67"/>
    <x v="1"/>
    <x v="15"/>
    <x v="16"/>
    <x v="58"/>
    <x v="2"/>
    <x v="0"/>
    <x v="2"/>
    <x v="11"/>
    <x v="0"/>
    <x v="2"/>
    <x v="0"/>
    <x v="4"/>
    <x v="4"/>
    <x v="4"/>
    <x v="58"/>
    <x v="58"/>
    <x v="6"/>
    <x v="58"/>
    <x v="24"/>
    <x v="58"/>
    <x v="2"/>
    <x v="18"/>
  </r>
  <r>
    <x v="2"/>
    <x v="68"/>
    <x v="1"/>
    <x v="16"/>
    <x v="16"/>
    <x v="59"/>
    <x v="2"/>
    <x v="1"/>
    <x v="2"/>
    <x v="11"/>
    <x v="0"/>
    <x v="3"/>
    <x v="0"/>
    <x v="4"/>
    <x v="4"/>
    <x v="4"/>
    <x v="59"/>
    <x v="59"/>
    <x v="6"/>
    <x v="59"/>
    <x v="24"/>
    <x v="59"/>
    <x v="2"/>
    <x v="18"/>
  </r>
  <r>
    <x v="2"/>
    <x v="69"/>
    <x v="2"/>
    <x v="17"/>
    <x v="12"/>
    <x v="60"/>
    <x v="3"/>
    <x v="3"/>
    <x v="0"/>
    <x v="7"/>
    <x v="0"/>
    <x v="2"/>
    <x v="0"/>
    <x v="0"/>
    <x v="0"/>
    <x v="0"/>
    <x v="60"/>
    <x v="60"/>
    <x v="1"/>
    <x v="60"/>
    <x v="25"/>
    <x v="60"/>
    <x v="2"/>
    <x v="14"/>
  </r>
  <r>
    <x v="2"/>
    <x v="70"/>
    <x v="2"/>
    <x v="18"/>
    <x v="12"/>
    <x v="60"/>
    <x v="3"/>
    <x v="3"/>
    <x v="0"/>
    <x v="7"/>
    <x v="0"/>
    <x v="2"/>
    <x v="0"/>
    <x v="0"/>
    <x v="0"/>
    <x v="0"/>
    <x v="60"/>
    <x v="60"/>
    <x v="1"/>
    <x v="60"/>
    <x v="25"/>
    <x v="60"/>
    <x v="2"/>
    <x v="14"/>
  </r>
  <r>
    <x v="2"/>
    <x v="71"/>
    <x v="2"/>
    <x v="19"/>
    <x v="17"/>
    <x v="61"/>
    <x v="1"/>
    <x v="3"/>
    <x v="0"/>
    <x v="7"/>
    <x v="0"/>
    <x v="2"/>
    <x v="0"/>
    <x v="1"/>
    <x v="1"/>
    <x v="1"/>
    <x v="61"/>
    <x v="61"/>
    <x v="1"/>
    <x v="61"/>
    <x v="26"/>
    <x v="61"/>
    <x v="2"/>
    <x v="15"/>
  </r>
  <r>
    <x v="2"/>
    <x v="72"/>
    <x v="3"/>
    <x v="20"/>
    <x v="17"/>
    <x v="62"/>
    <x v="0"/>
    <x v="0"/>
    <x v="0"/>
    <x v="12"/>
    <x v="3"/>
    <x v="4"/>
    <x v="0"/>
    <x v="5"/>
    <x v="5"/>
    <x v="5"/>
    <x v="62"/>
    <x v="62"/>
    <x v="7"/>
    <x v="62"/>
    <x v="27"/>
    <x v="62"/>
    <x v="2"/>
    <x v="19"/>
  </r>
  <r>
    <x v="2"/>
    <x v="73"/>
    <x v="3"/>
    <x v="21"/>
    <x v="17"/>
    <x v="62"/>
    <x v="0"/>
    <x v="0"/>
    <x v="0"/>
    <x v="12"/>
    <x v="3"/>
    <x v="4"/>
    <x v="0"/>
    <x v="5"/>
    <x v="5"/>
    <x v="5"/>
    <x v="62"/>
    <x v="62"/>
    <x v="7"/>
    <x v="62"/>
    <x v="27"/>
    <x v="62"/>
    <x v="2"/>
    <x v="19"/>
  </r>
  <r>
    <x v="2"/>
    <x v="74"/>
    <x v="3"/>
    <x v="22"/>
    <x v="13"/>
    <x v="63"/>
    <x v="0"/>
    <x v="0"/>
    <x v="0"/>
    <x v="11"/>
    <x v="4"/>
    <x v="4"/>
    <x v="0"/>
    <x v="1"/>
    <x v="1"/>
    <x v="1"/>
    <x v="63"/>
    <x v="63"/>
    <x v="7"/>
    <x v="63"/>
    <x v="3"/>
    <x v="63"/>
    <x v="2"/>
    <x v="15"/>
  </r>
  <r>
    <x v="2"/>
    <x v="75"/>
    <x v="3"/>
    <x v="23"/>
    <x v="13"/>
    <x v="63"/>
    <x v="0"/>
    <x v="0"/>
    <x v="0"/>
    <x v="11"/>
    <x v="4"/>
    <x v="4"/>
    <x v="0"/>
    <x v="1"/>
    <x v="1"/>
    <x v="1"/>
    <x v="63"/>
    <x v="63"/>
    <x v="7"/>
    <x v="63"/>
    <x v="3"/>
    <x v="63"/>
    <x v="2"/>
    <x v="15"/>
  </r>
  <r>
    <x v="2"/>
    <x v="76"/>
    <x v="3"/>
    <x v="24"/>
    <x v="17"/>
    <x v="64"/>
    <x v="0"/>
    <x v="0"/>
    <x v="0"/>
    <x v="12"/>
    <x v="3"/>
    <x v="4"/>
    <x v="0"/>
    <x v="6"/>
    <x v="6"/>
    <x v="6"/>
    <x v="64"/>
    <x v="64"/>
    <x v="7"/>
    <x v="64"/>
    <x v="27"/>
    <x v="64"/>
    <x v="2"/>
    <x v="20"/>
  </r>
  <r>
    <x v="2"/>
    <x v="77"/>
    <x v="3"/>
    <x v="25"/>
    <x v="17"/>
    <x v="65"/>
    <x v="0"/>
    <x v="0"/>
    <x v="0"/>
    <x v="13"/>
    <x v="5"/>
    <x v="4"/>
    <x v="0"/>
    <x v="6"/>
    <x v="6"/>
    <x v="6"/>
    <x v="65"/>
    <x v="65"/>
    <x v="7"/>
    <x v="65"/>
    <x v="27"/>
    <x v="65"/>
    <x v="2"/>
    <x v="20"/>
  </r>
  <r>
    <x v="3"/>
    <x v="78"/>
    <x v="0"/>
    <x v="0"/>
    <x v="18"/>
    <x v="66"/>
    <x v="0"/>
    <x v="0"/>
    <x v="0"/>
    <x v="0"/>
    <x v="0"/>
    <x v="0"/>
    <x v="0"/>
    <x v="0"/>
    <x v="0"/>
    <x v="0"/>
    <x v="66"/>
    <x v="66"/>
    <x v="1"/>
    <x v="66"/>
    <x v="28"/>
    <x v="66"/>
    <x v="3"/>
    <x v="21"/>
  </r>
  <r>
    <x v="3"/>
    <x v="79"/>
    <x v="0"/>
    <x v="1"/>
    <x v="18"/>
    <x v="67"/>
    <x v="0"/>
    <x v="0"/>
    <x v="1"/>
    <x v="1"/>
    <x v="0"/>
    <x v="0"/>
    <x v="0"/>
    <x v="0"/>
    <x v="0"/>
    <x v="0"/>
    <x v="67"/>
    <x v="67"/>
    <x v="1"/>
    <x v="67"/>
    <x v="28"/>
    <x v="67"/>
    <x v="3"/>
    <x v="21"/>
  </r>
  <r>
    <x v="3"/>
    <x v="80"/>
    <x v="0"/>
    <x v="2"/>
    <x v="18"/>
    <x v="68"/>
    <x v="0"/>
    <x v="0"/>
    <x v="2"/>
    <x v="2"/>
    <x v="0"/>
    <x v="0"/>
    <x v="0"/>
    <x v="0"/>
    <x v="0"/>
    <x v="0"/>
    <x v="68"/>
    <x v="68"/>
    <x v="1"/>
    <x v="68"/>
    <x v="28"/>
    <x v="68"/>
    <x v="3"/>
    <x v="21"/>
  </r>
  <r>
    <x v="3"/>
    <x v="81"/>
    <x v="0"/>
    <x v="3"/>
    <x v="19"/>
    <x v="69"/>
    <x v="0"/>
    <x v="1"/>
    <x v="0"/>
    <x v="2"/>
    <x v="1"/>
    <x v="1"/>
    <x v="0"/>
    <x v="1"/>
    <x v="1"/>
    <x v="1"/>
    <x v="69"/>
    <x v="69"/>
    <x v="1"/>
    <x v="69"/>
    <x v="29"/>
    <x v="69"/>
    <x v="3"/>
    <x v="22"/>
  </r>
  <r>
    <x v="3"/>
    <x v="82"/>
    <x v="0"/>
    <x v="4"/>
    <x v="19"/>
    <x v="70"/>
    <x v="0"/>
    <x v="1"/>
    <x v="1"/>
    <x v="3"/>
    <x v="1"/>
    <x v="2"/>
    <x v="0"/>
    <x v="1"/>
    <x v="1"/>
    <x v="1"/>
    <x v="70"/>
    <x v="70"/>
    <x v="1"/>
    <x v="70"/>
    <x v="29"/>
    <x v="70"/>
    <x v="3"/>
    <x v="22"/>
  </r>
  <r>
    <x v="3"/>
    <x v="83"/>
    <x v="0"/>
    <x v="5"/>
    <x v="20"/>
    <x v="71"/>
    <x v="1"/>
    <x v="1"/>
    <x v="0"/>
    <x v="4"/>
    <x v="2"/>
    <x v="0"/>
    <x v="0"/>
    <x v="2"/>
    <x v="2"/>
    <x v="2"/>
    <x v="71"/>
    <x v="71"/>
    <x v="1"/>
    <x v="71"/>
    <x v="30"/>
    <x v="71"/>
    <x v="3"/>
    <x v="23"/>
  </r>
  <r>
    <x v="3"/>
    <x v="84"/>
    <x v="0"/>
    <x v="6"/>
    <x v="20"/>
    <x v="72"/>
    <x v="1"/>
    <x v="1"/>
    <x v="2"/>
    <x v="5"/>
    <x v="2"/>
    <x v="0"/>
    <x v="0"/>
    <x v="2"/>
    <x v="2"/>
    <x v="2"/>
    <x v="72"/>
    <x v="72"/>
    <x v="1"/>
    <x v="72"/>
    <x v="30"/>
    <x v="72"/>
    <x v="3"/>
    <x v="23"/>
  </r>
  <r>
    <x v="3"/>
    <x v="85"/>
    <x v="1"/>
    <x v="7"/>
    <x v="18"/>
    <x v="73"/>
    <x v="0"/>
    <x v="1"/>
    <x v="0"/>
    <x v="4"/>
    <x v="2"/>
    <x v="0"/>
    <x v="0"/>
    <x v="3"/>
    <x v="3"/>
    <x v="3"/>
    <x v="73"/>
    <x v="73"/>
    <x v="8"/>
    <x v="73"/>
    <x v="31"/>
    <x v="73"/>
    <x v="3"/>
    <x v="24"/>
  </r>
  <r>
    <x v="3"/>
    <x v="86"/>
    <x v="1"/>
    <x v="8"/>
    <x v="18"/>
    <x v="74"/>
    <x v="2"/>
    <x v="2"/>
    <x v="0"/>
    <x v="6"/>
    <x v="2"/>
    <x v="0"/>
    <x v="0"/>
    <x v="3"/>
    <x v="3"/>
    <x v="3"/>
    <x v="74"/>
    <x v="74"/>
    <x v="8"/>
    <x v="74"/>
    <x v="31"/>
    <x v="74"/>
    <x v="3"/>
    <x v="24"/>
  </r>
  <r>
    <x v="3"/>
    <x v="87"/>
    <x v="1"/>
    <x v="9"/>
    <x v="18"/>
    <x v="75"/>
    <x v="2"/>
    <x v="1"/>
    <x v="3"/>
    <x v="7"/>
    <x v="2"/>
    <x v="0"/>
    <x v="0"/>
    <x v="3"/>
    <x v="3"/>
    <x v="3"/>
    <x v="75"/>
    <x v="75"/>
    <x v="8"/>
    <x v="75"/>
    <x v="31"/>
    <x v="75"/>
    <x v="3"/>
    <x v="24"/>
  </r>
  <r>
    <x v="3"/>
    <x v="88"/>
    <x v="1"/>
    <x v="10"/>
    <x v="18"/>
    <x v="76"/>
    <x v="0"/>
    <x v="3"/>
    <x v="4"/>
    <x v="5"/>
    <x v="2"/>
    <x v="0"/>
    <x v="0"/>
    <x v="4"/>
    <x v="4"/>
    <x v="4"/>
    <x v="76"/>
    <x v="76"/>
    <x v="8"/>
    <x v="76"/>
    <x v="31"/>
    <x v="76"/>
    <x v="3"/>
    <x v="25"/>
  </r>
  <r>
    <x v="3"/>
    <x v="89"/>
    <x v="1"/>
    <x v="11"/>
    <x v="21"/>
    <x v="77"/>
    <x v="2"/>
    <x v="3"/>
    <x v="5"/>
    <x v="8"/>
    <x v="2"/>
    <x v="0"/>
    <x v="0"/>
    <x v="4"/>
    <x v="4"/>
    <x v="4"/>
    <x v="77"/>
    <x v="77"/>
    <x v="8"/>
    <x v="77"/>
    <x v="32"/>
    <x v="77"/>
    <x v="3"/>
    <x v="25"/>
  </r>
  <r>
    <x v="3"/>
    <x v="90"/>
    <x v="1"/>
    <x v="12"/>
    <x v="21"/>
    <x v="78"/>
    <x v="2"/>
    <x v="3"/>
    <x v="2"/>
    <x v="9"/>
    <x v="2"/>
    <x v="0"/>
    <x v="0"/>
    <x v="4"/>
    <x v="4"/>
    <x v="4"/>
    <x v="78"/>
    <x v="78"/>
    <x v="8"/>
    <x v="78"/>
    <x v="32"/>
    <x v="78"/>
    <x v="3"/>
    <x v="25"/>
  </r>
  <r>
    <x v="3"/>
    <x v="91"/>
    <x v="1"/>
    <x v="13"/>
    <x v="18"/>
    <x v="73"/>
    <x v="0"/>
    <x v="1"/>
    <x v="0"/>
    <x v="4"/>
    <x v="2"/>
    <x v="0"/>
    <x v="0"/>
    <x v="3"/>
    <x v="3"/>
    <x v="3"/>
    <x v="73"/>
    <x v="73"/>
    <x v="8"/>
    <x v="73"/>
    <x v="31"/>
    <x v="73"/>
    <x v="3"/>
    <x v="24"/>
  </r>
  <r>
    <x v="3"/>
    <x v="92"/>
    <x v="1"/>
    <x v="14"/>
    <x v="18"/>
    <x v="79"/>
    <x v="0"/>
    <x v="3"/>
    <x v="0"/>
    <x v="10"/>
    <x v="2"/>
    <x v="0"/>
    <x v="0"/>
    <x v="3"/>
    <x v="3"/>
    <x v="3"/>
    <x v="79"/>
    <x v="79"/>
    <x v="8"/>
    <x v="79"/>
    <x v="31"/>
    <x v="79"/>
    <x v="3"/>
    <x v="24"/>
  </r>
  <r>
    <x v="3"/>
    <x v="93"/>
    <x v="1"/>
    <x v="15"/>
    <x v="22"/>
    <x v="80"/>
    <x v="2"/>
    <x v="0"/>
    <x v="2"/>
    <x v="11"/>
    <x v="0"/>
    <x v="2"/>
    <x v="0"/>
    <x v="4"/>
    <x v="4"/>
    <x v="4"/>
    <x v="80"/>
    <x v="80"/>
    <x v="8"/>
    <x v="80"/>
    <x v="33"/>
    <x v="80"/>
    <x v="3"/>
    <x v="25"/>
  </r>
  <r>
    <x v="3"/>
    <x v="94"/>
    <x v="1"/>
    <x v="16"/>
    <x v="22"/>
    <x v="81"/>
    <x v="2"/>
    <x v="1"/>
    <x v="2"/>
    <x v="11"/>
    <x v="0"/>
    <x v="3"/>
    <x v="0"/>
    <x v="4"/>
    <x v="4"/>
    <x v="4"/>
    <x v="81"/>
    <x v="81"/>
    <x v="8"/>
    <x v="81"/>
    <x v="33"/>
    <x v="81"/>
    <x v="3"/>
    <x v="25"/>
  </r>
  <r>
    <x v="3"/>
    <x v="95"/>
    <x v="2"/>
    <x v="17"/>
    <x v="18"/>
    <x v="82"/>
    <x v="3"/>
    <x v="3"/>
    <x v="0"/>
    <x v="7"/>
    <x v="0"/>
    <x v="2"/>
    <x v="0"/>
    <x v="0"/>
    <x v="0"/>
    <x v="0"/>
    <x v="82"/>
    <x v="82"/>
    <x v="9"/>
    <x v="82"/>
    <x v="13"/>
    <x v="82"/>
    <x v="3"/>
    <x v="21"/>
  </r>
  <r>
    <x v="3"/>
    <x v="96"/>
    <x v="2"/>
    <x v="18"/>
    <x v="18"/>
    <x v="82"/>
    <x v="3"/>
    <x v="3"/>
    <x v="0"/>
    <x v="7"/>
    <x v="0"/>
    <x v="2"/>
    <x v="0"/>
    <x v="0"/>
    <x v="0"/>
    <x v="0"/>
    <x v="82"/>
    <x v="82"/>
    <x v="9"/>
    <x v="82"/>
    <x v="13"/>
    <x v="82"/>
    <x v="3"/>
    <x v="21"/>
  </r>
  <r>
    <x v="3"/>
    <x v="97"/>
    <x v="2"/>
    <x v="19"/>
    <x v="23"/>
    <x v="83"/>
    <x v="1"/>
    <x v="3"/>
    <x v="0"/>
    <x v="7"/>
    <x v="0"/>
    <x v="2"/>
    <x v="0"/>
    <x v="1"/>
    <x v="1"/>
    <x v="1"/>
    <x v="83"/>
    <x v="83"/>
    <x v="9"/>
    <x v="83"/>
    <x v="34"/>
    <x v="83"/>
    <x v="3"/>
    <x v="22"/>
  </r>
  <r>
    <x v="3"/>
    <x v="98"/>
    <x v="3"/>
    <x v="20"/>
    <x v="23"/>
    <x v="84"/>
    <x v="0"/>
    <x v="0"/>
    <x v="0"/>
    <x v="12"/>
    <x v="3"/>
    <x v="4"/>
    <x v="0"/>
    <x v="5"/>
    <x v="5"/>
    <x v="5"/>
    <x v="84"/>
    <x v="84"/>
    <x v="8"/>
    <x v="84"/>
    <x v="35"/>
    <x v="84"/>
    <x v="3"/>
    <x v="26"/>
  </r>
  <r>
    <x v="3"/>
    <x v="99"/>
    <x v="3"/>
    <x v="21"/>
    <x v="23"/>
    <x v="84"/>
    <x v="0"/>
    <x v="0"/>
    <x v="0"/>
    <x v="12"/>
    <x v="3"/>
    <x v="4"/>
    <x v="0"/>
    <x v="5"/>
    <x v="5"/>
    <x v="5"/>
    <x v="84"/>
    <x v="84"/>
    <x v="8"/>
    <x v="84"/>
    <x v="35"/>
    <x v="84"/>
    <x v="3"/>
    <x v="26"/>
  </r>
  <r>
    <x v="3"/>
    <x v="100"/>
    <x v="3"/>
    <x v="22"/>
    <x v="19"/>
    <x v="85"/>
    <x v="0"/>
    <x v="0"/>
    <x v="0"/>
    <x v="11"/>
    <x v="4"/>
    <x v="4"/>
    <x v="0"/>
    <x v="1"/>
    <x v="1"/>
    <x v="1"/>
    <x v="85"/>
    <x v="85"/>
    <x v="8"/>
    <x v="85"/>
    <x v="36"/>
    <x v="85"/>
    <x v="3"/>
    <x v="22"/>
  </r>
  <r>
    <x v="3"/>
    <x v="101"/>
    <x v="3"/>
    <x v="23"/>
    <x v="19"/>
    <x v="85"/>
    <x v="0"/>
    <x v="0"/>
    <x v="0"/>
    <x v="11"/>
    <x v="4"/>
    <x v="4"/>
    <x v="0"/>
    <x v="1"/>
    <x v="1"/>
    <x v="1"/>
    <x v="85"/>
    <x v="85"/>
    <x v="8"/>
    <x v="85"/>
    <x v="36"/>
    <x v="85"/>
    <x v="3"/>
    <x v="22"/>
  </r>
  <r>
    <x v="3"/>
    <x v="102"/>
    <x v="3"/>
    <x v="24"/>
    <x v="23"/>
    <x v="86"/>
    <x v="0"/>
    <x v="0"/>
    <x v="0"/>
    <x v="12"/>
    <x v="3"/>
    <x v="4"/>
    <x v="0"/>
    <x v="6"/>
    <x v="6"/>
    <x v="6"/>
    <x v="86"/>
    <x v="86"/>
    <x v="8"/>
    <x v="86"/>
    <x v="35"/>
    <x v="86"/>
    <x v="3"/>
    <x v="27"/>
  </r>
  <r>
    <x v="3"/>
    <x v="103"/>
    <x v="3"/>
    <x v="25"/>
    <x v="23"/>
    <x v="87"/>
    <x v="0"/>
    <x v="0"/>
    <x v="0"/>
    <x v="13"/>
    <x v="5"/>
    <x v="4"/>
    <x v="0"/>
    <x v="6"/>
    <x v="6"/>
    <x v="6"/>
    <x v="87"/>
    <x v="87"/>
    <x v="8"/>
    <x v="87"/>
    <x v="35"/>
    <x v="87"/>
    <x v="3"/>
    <x v="27"/>
  </r>
  <r>
    <x v="4"/>
    <x v="104"/>
    <x v="0"/>
    <x v="0"/>
    <x v="24"/>
    <x v="88"/>
    <x v="0"/>
    <x v="0"/>
    <x v="0"/>
    <x v="0"/>
    <x v="0"/>
    <x v="0"/>
    <x v="0"/>
    <x v="0"/>
    <x v="0"/>
    <x v="0"/>
    <x v="88"/>
    <x v="88"/>
    <x v="10"/>
    <x v="88"/>
    <x v="37"/>
    <x v="88"/>
    <x v="4"/>
    <x v="28"/>
  </r>
  <r>
    <x v="4"/>
    <x v="105"/>
    <x v="0"/>
    <x v="1"/>
    <x v="24"/>
    <x v="89"/>
    <x v="0"/>
    <x v="0"/>
    <x v="1"/>
    <x v="1"/>
    <x v="0"/>
    <x v="0"/>
    <x v="0"/>
    <x v="0"/>
    <x v="0"/>
    <x v="0"/>
    <x v="89"/>
    <x v="89"/>
    <x v="10"/>
    <x v="89"/>
    <x v="37"/>
    <x v="89"/>
    <x v="4"/>
    <x v="28"/>
  </r>
  <r>
    <x v="4"/>
    <x v="106"/>
    <x v="0"/>
    <x v="2"/>
    <x v="24"/>
    <x v="90"/>
    <x v="0"/>
    <x v="0"/>
    <x v="2"/>
    <x v="2"/>
    <x v="0"/>
    <x v="0"/>
    <x v="0"/>
    <x v="0"/>
    <x v="0"/>
    <x v="0"/>
    <x v="90"/>
    <x v="90"/>
    <x v="10"/>
    <x v="90"/>
    <x v="37"/>
    <x v="90"/>
    <x v="4"/>
    <x v="28"/>
  </r>
  <r>
    <x v="4"/>
    <x v="107"/>
    <x v="0"/>
    <x v="3"/>
    <x v="25"/>
    <x v="91"/>
    <x v="0"/>
    <x v="1"/>
    <x v="0"/>
    <x v="2"/>
    <x v="1"/>
    <x v="1"/>
    <x v="0"/>
    <x v="1"/>
    <x v="1"/>
    <x v="1"/>
    <x v="91"/>
    <x v="91"/>
    <x v="10"/>
    <x v="91"/>
    <x v="38"/>
    <x v="91"/>
    <x v="4"/>
    <x v="29"/>
  </r>
  <r>
    <x v="4"/>
    <x v="108"/>
    <x v="0"/>
    <x v="4"/>
    <x v="25"/>
    <x v="92"/>
    <x v="0"/>
    <x v="1"/>
    <x v="1"/>
    <x v="3"/>
    <x v="1"/>
    <x v="2"/>
    <x v="0"/>
    <x v="1"/>
    <x v="1"/>
    <x v="1"/>
    <x v="92"/>
    <x v="92"/>
    <x v="10"/>
    <x v="92"/>
    <x v="38"/>
    <x v="92"/>
    <x v="4"/>
    <x v="29"/>
  </r>
  <r>
    <x v="4"/>
    <x v="109"/>
    <x v="0"/>
    <x v="5"/>
    <x v="26"/>
    <x v="93"/>
    <x v="1"/>
    <x v="1"/>
    <x v="0"/>
    <x v="4"/>
    <x v="2"/>
    <x v="0"/>
    <x v="0"/>
    <x v="2"/>
    <x v="2"/>
    <x v="2"/>
    <x v="93"/>
    <x v="93"/>
    <x v="10"/>
    <x v="93"/>
    <x v="39"/>
    <x v="93"/>
    <x v="4"/>
    <x v="30"/>
  </r>
  <r>
    <x v="4"/>
    <x v="110"/>
    <x v="0"/>
    <x v="6"/>
    <x v="26"/>
    <x v="94"/>
    <x v="1"/>
    <x v="1"/>
    <x v="2"/>
    <x v="5"/>
    <x v="2"/>
    <x v="0"/>
    <x v="0"/>
    <x v="2"/>
    <x v="2"/>
    <x v="2"/>
    <x v="94"/>
    <x v="94"/>
    <x v="10"/>
    <x v="94"/>
    <x v="39"/>
    <x v="94"/>
    <x v="4"/>
    <x v="30"/>
  </r>
  <r>
    <x v="4"/>
    <x v="111"/>
    <x v="1"/>
    <x v="7"/>
    <x v="24"/>
    <x v="95"/>
    <x v="0"/>
    <x v="1"/>
    <x v="0"/>
    <x v="4"/>
    <x v="2"/>
    <x v="0"/>
    <x v="0"/>
    <x v="3"/>
    <x v="3"/>
    <x v="3"/>
    <x v="95"/>
    <x v="95"/>
    <x v="6"/>
    <x v="95"/>
    <x v="40"/>
    <x v="95"/>
    <x v="4"/>
    <x v="31"/>
  </r>
  <r>
    <x v="4"/>
    <x v="112"/>
    <x v="1"/>
    <x v="8"/>
    <x v="24"/>
    <x v="96"/>
    <x v="2"/>
    <x v="2"/>
    <x v="0"/>
    <x v="6"/>
    <x v="2"/>
    <x v="0"/>
    <x v="0"/>
    <x v="3"/>
    <x v="3"/>
    <x v="3"/>
    <x v="96"/>
    <x v="96"/>
    <x v="6"/>
    <x v="96"/>
    <x v="40"/>
    <x v="96"/>
    <x v="4"/>
    <x v="31"/>
  </r>
  <r>
    <x v="4"/>
    <x v="113"/>
    <x v="1"/>
    <x v="9"/>
    <x v="24"/>
    <x v="97"/>
    <x v="2"/>
    <x v="1"/>
    <x v="3"/>
    <x v="7"/>
    <x v="2"/>
    <x v="0"/>
    <x v="0"/>
    <x v="3"/>
    <x v="3"/>
    <x v="3"/>
    <x v="97"/>
    <x v="97"/>
    <x v="6"/>
    <x v="97"/>
    <x v="40"/>
    <x v="97"/>
    <x v="4"/>
    <x v="31"/>
  </r>
  <r>
    <x v="4"/>
    <x v="114"/>
    <x v="1"/>
    <x v="10"/>
    <x v="24"/>
    <x v="98"/>
    <x v="0"/>
    <x v="3"/>
    <x v="4"/>
    <x v="5"/>
    <x v="2"/>
    <x v="0"/>
    <x v="0"/>
    <x v="4"/>
    <x v="4"/>
    <x v="4"/>
    <x v="98"/>
    <x v="98"/>
    <x v="6"/>
    <x v="98"/>
    <x v="40"/>
    <x v="98"/>
    <x v="4"/>
    <x v="32"/>
  </r>
  <r>
    <x v="4"/>
    <x v="115"/>
    <x v="1"/>
    <x v="11"/>
    <x v="27"/>
    <x v="99"/>
    <x v="2"/>
    <x v="3"/>
    <x v="5"/>
    <x v="8"/>
    <x v="2"/>
    <x v="0"/>
    <x v="0"/>
    <x v="4"/>
    <x v="4"/>
    <x v="4"/>
    <x v="99"/>
    <x v="99"/>
    <x v="6"/>
    <x v="99"/>
    <x v="41"/>
    <x v="99"/>
    <x v="4"/>
    <x v="32"/>
  </r>
  <r>
    <x v="4"/>
    <x v="116"/>
    <x v="1"/>
    <x v="12"/>
    <x v="27"/>
    <x v="100"/>
    <x v="2"/>
    <x v="3"/>
    <x v="2"/>
    <x v="9"/>
    <x v="2"/>
    <x v="0"/>
    <x v="0"/>
    <x v="4"/>
    <x v="4"/>
    <x v="4"/>
    <x v="100"/>
    <x v="100"/>
    <x v="6"/>
    <x v="100"/>
    <x v="41"/>
    <x v="100"/>
    <x v="4"/>
    <x v="32"/>
  </r>
  <r>
    <x v="4"/>
    <x v="117"/>
    <x v="1"/>
    <x v="13"/>
    <x v="24"/>
    <x v="95"/>
    <x v="0"/>
    <x v="1"/>
    <x v="0"/>
    <x v="4"/>
    <x v="2"/>
    <x v="0"/>
    <x v="0"/>
    <x v="3"/>
    <x v="3"/>
    <x v="3"/>
    <x v="95"/>
    <x v="95"/>
    <x v="6"/>
    <x v="95"/>
    <x v="40"/>
    <x v="95"/>
    <x v="4"/>
    <x v="31"/>
  </r>
  <r>
    <x v="4"/>
    <x v="118"/>
    <x v="1"/>
    <x v="14"/>
    <x v="24"/>
    <x v="101"/>
    <x v="0"/>
    <x v="3"/>
    <x v="0"/>
    <x v="10"/>
    <x v="2"/>
    <x v="0"/>
    <x v="0"/>
    <x v="3"/>
    <x v="3"/>
    <x v="3"/>
    <x v="101"/>
    <x v="101"/>
    <x v="6"/>
    <x v="101"/>
    <x v="40"/>
    <x v="101"/>
    <x v="4"/>
    <x v="31"/>
  </r>
  <r>
    <x v="4"/>
    <x v="119"/>
    <x v="1"/>
    <x v="15"/>
    <x v="28"/>
    <x v="102"/>
    <x v="2"/>
    <x v="0"/>
    <x v="2"/>
    <x v="11"/>
    <x v="0"/>
    <x v="2"/>
    <x v="0"/>
    <x v="4"/>
    <x v="4"/>
    <x v="4"/>
    <x v="102"/>
    <x v="102"/>
    <x v="6"/>
    <x v="102"/>
    <x v="42"/>
    <x v="102"/>
    <x v="4"/>
    <x v="32"/>
  </r>
  <r>
    <x v="4"/>
    <x v="120"/>
    <x v="1"/>
    <x v="16"/>
    <x v="28"/>
    <x v="103"/>
    <x v="2"/>
    <x v="1"/>
    <x v="2"/>
    <x v="11"/>
    <x v="0"/>
    <x v="3"/>
    <x v="0"/>
    <x v="4"/>
    <x v="4"/>
    <x v="4"/>
    <x v="103"/>
    <x v="103"/>
    <x v="6"/>
    <x v="103"/>
    <x v="42"/>
    <x v="103"/>
    <x v="4"/>
    <x v="32"/>
  </r>
  <r>
    <x v="4"/>
    <x v="121"/>
    <x v="2"/>
    <x v="17"/>
    <x v="24"/>
    <x v="104"/>
    <x v="3"/>
    <x v="3"/>
    <x v="0"/>
    <x v="7"/>
    <x v="0"/>
    <x v="2"/>
    <x v="0"/>
    <x v="0"/>
    <x v="0"/>
    <x v="0"/>
    <x v="104"/>
    <x v="104"/>
    <x v="3"/>
    <x v="104"/>
    <x v="43"/>
    <x v="104"/>
    <x v="4"/>
    <x v="28"/>
  </r>
  <r>
    <x v="4"/>
    <x v="122"/>
    <x v="2"/>
    <x v="18"/>
    <x v="24"/>
    <x v="104"/>
    <x v="3"/>
    <x v="3"/>
    <x v="0"/>
    <x v="7"/>
    <x v="0"/>
    <x v="2"/>
    <x v="0"/>
    <x v="0"/>
    <x v="0"/>
    <x v="0"/>
    <x v="104"/>
    <x v="104"/>
    <x v="3"/>
    <x v="104"/>
    <x v="43"/>
    <x v="104"/>
    <x v="4"/>
    <x v="28"/>
  </r>
  <r>
    <x v="4"/>
    <x v="123"/>
    <x v="2"/>
    <x v="19"/>
    <x v="29"/>
    <x v="105"/>
    <x v="1"/>
    <x v="3"/>
    <x v="0"/>
    <x v="7"/>
    <x v="0"/>
    <x v="2"/>
    <x v="0"/>
    <x v="1"/>
    <x v="1"/>
    <x v="1"/>
    <x v="105"/>
    <x v="105"/>
    <x v="3"/>
    <x v="105"/>
    <x v="44"/>
    <x v="105"/>
    <x v="4"/>
    <x v="29"/>
  </r>
  <r>
    <x v="4"/>
    <x v="124"/>
    <x v="3"/>
    <x v="20"/>
    <x v="29"/>
    <x v="106"/>
    <x v="0"/>
    <x v="0"/>
    <x v="0"/>
    <x v="12"/>
    <x v="3"/>
    <x v="4"/>
    <x v="0"/>
    <x v="5"/>
    <x v="5"/>
    <x v="5"/>
    <x v="106"/>
    <x v="106"/>
    <x v="11"/>
    <x v="106"/>
    <x v="45"/>
    <x v="106"/>
    <x v="4"/>
    <x v="33"/>
  </r>
  <r>
    <x v="4"/>
    <x v="125"/>
    <x v="3"/>
    <x v="21"/>
    <x v="29"/>
    <x v="106"/>
    <x v="0"/>
    <x v="0"/>
    <x v="0"/>
    <x v="12"/>
    <x v="3"/>
    <x v="4"/>
    <x v="0"/>
    <x v="5"/>
    <x v="5"/>
    <x v="5"/>
    <x v="106"/>
    <x v="106"/>
    <x v="11"/>
    <x v="106"/>
    <x v="45"/>
    <x v="106"/>
    <x v="4"/>
    <x v="33"/>
  </r>
  <r>
    <x v="4"/>
    <x v="126"/>
    <x v="3"/>
    <x v="22"/>
    <x v="25"/>
    <x v="107"/>
    <x v="0"/>
    <x v="0"/>
    <x v="0"/>
    <x v="11"/>
    <x v="4"/>
    <x v="4"/>
    <x v="0"/>
    <x v="1"/>
    <x v="1"/>
    <x v="1"/>
    <x v="107"/>
    <x v="107"/>
    <x v="11"/>
    <x v="107"/>
    <x v="46"/>
    <x v="107"/>
    <x v="4"/>
    <x v="29"/>
  </r>
  <r>
    <x v="4"/>
    <x v="127"/>
    <x v="3"/>
    <x v="23"/>
    <x v="25"/>
    <x v="107"/>
    <x v="0"/>
    <x v="0"/>
    <x v="0"/>
    <x v="11"/>
    <x v="4"/>
    <x v="4"/>
    <x v="0"/>
    <x v="1"/>
    <x v="1"/>
    <x v="1"/>
    <x v="107"/>
    <x v="107"/>
    <x v="11"/>
    <x v="107"/>
    <x v="46"/>
    <x v="107"/>
    <x v="4"/>
    <x v="29"/>
  </r>
  <r>
    <x v="4"/>
    <x v="128"/>
    <x v="3"/>
    <x v="24"/>
    <x v="29"/>
    <x v="108"/>
    <x v="0"/>
    <x v="0"/>
    <x v="0"/>
    <x v="12"/>
    <x v="3"/>
    <x v="4"/>
    <x v="0"/>
    <x v="6"/>
    <x v="6"/>
    <x v="6"/>
    <x v="108"/>
    <x v="108"/>
    <x v="11"/>
    <x v="108"/>
    <x v="45"/>
    <x v="108"/>
    <x v="4"/>
    <x v="34"/>
  </r>
  <r>
    <x v="4"/>
    <x v="129"/>
    <x v="3"/>
    <x v="25"/>
    <x v="29"/>
    <x v="109"/>
    <x v="0"/>
    <x v="0"/>
    <x v="0"/>
    <x v="13"/>
    <x v="5"/>
    <x v="4"/>
    <x v="0"/>
    <x v="6"/>
    <x v="6"/>
    <x v="6"/>
    <x v="109"/>
    <x v="109"/>
    <x v="11"/>
    <x v="109"/>
    <x v="45"/>
    <x v="109"/>
    <x v="4"/>
    <x v="34"/>
  </r>
  <r>
    <x v="5"/>
    <x v="130"/>
    <x v="0"/>
    <x v="0"/>
    <x v="30"/>
    <x v="110"/>
    <x v="0"/>
    <x v="0"/>
    <x v="0"/>
    <x v="0"/>
    <x v="0"/>
    <x v="0"/>
    <x v="0"/>
    <x v="0"/>
    <x v="0"/>
    <x v="0"/>
    <x v="110"/>
    <x v="110"/>
    <x v="5"/>
    <x v="110"/>
    <x v="47"/>
    <x v="110"/>
    <x v="5"/>
    <x v="35"/>
  </r>
  <r>
    <x v="5"/>
    <x v="131"/>
    <x v="0"/>
    <x v="1"/>
    <x v="30"/>
    <x v="111"/>
    <x v="0"/>
    <x v="0"/>
    <x v="1"/>
    <x v="1"/>
    <x v="0"/>
    <x v="0"/>
    <x v="0"/>
    <x v="0"/>
    <x v="0"/>
    <x v="0"/>
    <x v="111"/>
    <x v="111"/>
    <x v="5"/>
    <x v="111"/>
    <x v="47"/>
    <x v="111"/>
    <x v="5"/>
    <x v="35"/>
  </r>
  <r>
    <x v="5"/>
    <x v="132"/>
    <x v="0"/>
    <x v="2"/>
    <x v="30"/>
    <x v="112"/>
    <x v="0"/>
    <x v="0"/>
    <x v="2"/>
    <x v="2"/>
    <x v="0"/>
    <x v="0"/>
    <x v="0"/>
    <x v="0"/>
    <x v="0"/>
    <x v="0"/>
    <x v="112"/>
    <x v="112"/>
    <x v="5"/>
    <x v="112"/>
    <x v="47"/>
    <x v="112"/>
    <x v="5"/>
    <x v="35"/>
  </r>
  <r>
    <x v="5"/>
    <x v="133"/>
    <x v="0"/>
    <x v="3"/>
    <x v="31"/>
    <x v="113"/>
    <x v="0"/>
    <x v="1"/>
    <x v="0"/>
    <x v="2"/>
    <x v="1"/>
    <x v="1"/>
    <x v="0"/>
    <x v="1"/>
    <x v="1"/>
    <x v="1"/>
    <x v="113"/>
    <x v="113"/>
    <x v="5"/>
    <x v="113"/>
    <x v="48"/>
    <x v="113"/>
    <x v="5"/>
    <x v="36"/>
  </r>
  <r>
    <x v="5"/>
    <x v="134"/>
    <x v="0"/>
    <x v="4"/>
    <x v="31"/>
    <x v="114"/>
    <x v="0"/>
    <x v="1"/>
    <x v="1"/>
    <x v="3"/>
    <x v="1"/>
    <x v="2"/>
    <x v="0"/>
    <x v="1"/>
    <x v="1"/>
    <x v="1"/>
    <x v="114"/>
    <x v="114"/>
    <x v="5"/>
    <x v="114"/>
    <x v="48"/>
    <x v="114"/>
    <x v="5"/>
    <x v="36"/>
  </r>
  <r>
    <x v="5"/>
    <x v="135"/>
    <x v="0"/>
    <x v="5"/>
    <x v="32"/>
    <x v="115"/>
    <x v="1"/>
    <x v="1"/>
    <x v="0"/>
    <x v="4"/>
    <x v="2"/>
    <x v="0"/>
    <x v="0"/>
    <x v="2"/>
    <x v="2"/>
    <x v="2"/>
    <x v="115"/>
    <x v="115"/>
    <x v="5"/>
    <x v="115"/>
    <x v="49"/>
    <x v="115"/>
    <x v="5"/>
    <x v="37"/>
  </r>
  <r>
    <x v="5"/>
    <x v="136"/>
    <x v="0"/>
    <x v="6"/>
    <x v="32"/>
    <x v="116"/>
    <x v="1"/>
    <x v="1"/>
    <x v="2"/>
    <x v="5"/>
    <x v="2"/>
    <x v="0"/>
    <x v="0"/>
    <x v="2"/>
    <x v="2"/>
    <x v="2"/>
    <x v="116"/>
    <x v="116"/>
    <x v="5"/>
    <x v="116"/>
    <x v="49"/>
    <x v="116"/>
    <x v="5"/>
    <x v="37"/>
  </r>
  <r>
    <x v="5"/>
    <x v="137"/>
    <x v="1"/>
    <x v="7"/>
    <x v="30"/>
    <x v="117"/>
    <x v="0"/>
    <x v="1"/>
    <x v="0"/>
    <x v="4"/>
    <x v="2"/>
    <x v="0"/>
    <x v="0"/>
    <x v="3"/>
    <x v="3"/>
    <x v="3"/>
    <x v="117"/>
    <x v="117"/>
    <x v="4"/>
    <x v="117"/>
    <x v="50"/>
    <x v="117"/>
    <x v="5"/>
    <x v="38"/>
  </r>
  <r>
    <x v="5"/>
    <x v="138"/>
    <x v="1"/>
    <x v="8"/>
    <x v="30"/>
    <x v="118"/>
    <x v="2"/>
    <x v="2"/>
    <x v="0"/>
    <x v="6"/>
    <x v="2"/>
    <x v="0"/>
    <x v="0"/>
    <x v="3"/>
    <x v="3"/>
    <x v="3"/>
    <x v="118"/>
    <x v="118"/>
    <x v="4"/>
    <x v="118"/>
    <x v="50"/>
    <x v="118"/>
    <x v="5"/>
    <x v="38"/>
  </r>
  <r>
    <x v="5"/>
    <x v="139"/>
    <x v="1"/>
    <x v="9"/>
    <x v="30"/>
    <x v="119"/>
    <x v="2"/>
    <x v="1"/>
    <x v="3"/>
    <x v="7"/>
    <x v="2"/>
    <x v="0"/>
    <x v="0"/>
    <x v="3"/>
    <x v="3"/>
    <x v="3"/>
    <x v="119"/>
    <x v="119"/>
    <x v="4"/>
    <x v="119"/>
    <x v="50"/>
    <x v="119"/>
    <x v="5"/>
    <x v="38"/>
  </r>
  <r>
    <x v="5"/>
    <x v="140"/>
    <x v="1"/>
    <x v="10"/>
    <x v="30"/>
    <x v="120"/>
    <x v="0"/>
    <x v="3"/>
    <x v="4"/>
    <x v="5"/>
    <x v="2"/>
    <x v="0"/>
    <x v="0"/>
    <x v="4"/>
    <x v="4"/>
    <x v="4"/>
    <x v="120"/>
    <x v="120"/>
    <x v="4"/>
    <x v="120"/>
    <x v="50"/>
    <x v="120"/>
    <x v="5"/>
    <x v="39"/>
  </r>
  <r>
    <x v="5"/>
    <x v="141"/>
    <x v="1"/>
    <x v="11"/>
    <x v="33"/>
    <x v="121"/>
    <x v="2"/>
    <x v="3"/>
    <x v="5"/>
    <x v="8"/>
    <x v="2"/>
    <x v="0"/>
    <x v="0"/>
    <x v="4"/>
    <x v="4"/>
    <x v="4"/>
    <x v="121"/>
    <x v="121"/>
    <x v="4"/>
    <x v="121"/>
    <x v="51"/>
    <x v="121"/>
    <x v="5"/>
    <x v="39"/>
  </r>
  <r>
    <x v="5"/>
    <x v="142"/>
    <x v="1"/>
    <x v="12"/>
    <x v="33"/>
    <x v="122"/>
    <x v="2"/>
    <x v="3"/>
    <x v="2"/>
    <x v="9"/>
    <x v="2"/>
    <x v="0"/>
    <x v="0"/>
    <x v="4"/>
    <x v="4"/>
    <x v="4"/>
    <x v="122"/>
    <x v="122"/>
    <x v="4"/>
    <x v="122"/>
    <x v="51"/>
    <x v="122"/>
    <x v="5"/>
    <x v="39"/>
  </r>
  <r>
    <x v="5"/>
    <x v="143"/>
    <x v="1"/>
    <x v="13"/>
    <x v="30"/>
    <x v="117"/>
    <x v="0"/>
    <x v="1"/>
    <x v="0"/>
    <x v="4"/>
    <x v="2"/>
    <x v="0"/>
    <x v="0"/>
    <x v="3"/>
    <x v="3"/>
    <x v="3"/>
    <x v="117"/>
    <x v="117"/>
    <x v="4"/>
    <x v="117"/>
    <x v="50"/>
    <x v="117"/>
    <x v="5"/>
    <x v="38"/>
  </r>
  <r>
    <x v="5"/>
    <x v="144"/>
    <x v="1"/>
    <x v="14"/>
    <x v="30"/>
    <x v="123"/>
    <x v="0"/>
    <x v="3"/>
    <x v="0"/>
    <x v="10"/>
    <x v="2"/>
    <x v="0"/>
    <x v="0"/>
    <x v="3"/>
    <x v="3"/>
    <x v="3"/>
    <x v="123"/>
    <x v="123"/>
    <x v="4"/>
    <x v="123"/>
    <x v="50"/>
    <x v="123"/>
    <x v="5"/>
    <x v="38"/>
  </r>
  <r>
    <x v="5"/>
    <x v="145"/>
    <x v="1"/>
    <x v="15"/>
    <x v="3"/>
    <x v="124"/>
    <x v="2"/>
    <x v="0"/>
    <x v="2"/>
    <x v="11"/>
    <x v="0"/>
    <x v="2"/>
    <x v="0"/>
    <x v="4"/>
    <x v="4"/>
    <x v="4"/>
    <x v="124"/>
    <x v="124"/>
    <x v="4"/>
    <x v="124"/>
    <x v="52"/>
    <x v="124"/>
    <x v="5"/>
    <x v="39"/>
  </r>
  <r>
    <x v="5"/>
    <x v="146"/>
    <x v="1"/>
    <x v="16"/>
    <x v="3"/>
    <x v="125"/>
    <x v="2"/>
    <x v="1"/>
    <x v="2"/>
    <x v="11"/>
    <x v="0"/>
    <x v="3"/>
    <x v="0"/>
    <x v="4"/>
    <x v="4"/>
    <x v="4"/>
    <x v="125"/>
    <x v="125"/>
    <x v="4"/>
    <x v="125"/>
    <x v="52"/>
    <x v="125"/>
    <x v="5"/>
    <x v="39"/>
  </r>
  <r>
    <x v="5"/>
    <x v="147"/>
    <x v="2"/>
    <x v="17"/>
    <x v="30"/>
    <x v="126"/>
    <x v="3"/>
    <x v="3"/>
    <x v="0"/>
    <x v="7"/>
    <x v="0"/>
    <x v="2"/>
    <x v="0"/>
    <x v="0"/>
    <x v="0"/>
    <x v="0"/>
    <x v="126"/>
    <x v="126"/>
    <x v="12"/>
    <x v="126"/>
    <x v="53"/>
    <x v="126"/>
    <x v="5"/>
    <x v="35"/>
  </r>
  <r>
    <x v="5"/>
    <x v="148"/>
    <x v="2"/>
    <x v="18"/>
    <x v="30"/>
    <x v="126"/>
    <x v="3"/>
    <x v="3"/>
    <x v="0"/>
    <x v="7"/>
    <x v="0"/>
    <x v="2"/>
    <x v="0"/>
    <x v="0"/>
    <x v="0"/>
    <x v="0"/>
    <x v="126"/>
    <x v="126"/>
    <x v="12"/>
    <x v="126"/>
    <x v="53"/>
    <x v="126"/>
    <x v="5"/>
    <x v="35"/>
  </r>
  <r>
    <x v="5"/>
    <x v="149"/>
    <x v="2"/>
    <x v="19"/>
    <x v="34"/>
    <x v="127"/>
    <x v="1"/>
    <x v="3"/>
    <x v="0"/>
    <x v="7"/>
    <x v="0"/>
    <x v="2"/>
    <x v="0"/>
    <x v="1"/>
    <x v="1"/>
    <x v="1"/>
    <x v="127"/>
    <x v="127"/>
    <x v="12"/>
    <x v="127"/>
    <x v="54"/>
    <x v="127"/>
    <x v="5"/>
    <x v="36"/>
  </r>
  <r>
    <x v="5"/>
    <x v="150"/>
    <x v="3"/>
    <x v="20"/>
    <x v="34"/>
    <x v="128"/>
    <x v="0"/>
    <x v="0"/>
    <x v="0"/>
    <x v="12"/>
    <x v="3"/>
    <x v="4"/>
    <x v="0"/>
    <x v="5"/>
    <x v="5"/>
    <x v="5"/>
    <x v="128"/>
    <x v="128"/>
    <x v="3"/>
    <x v="128"/>
    <x v="47"/>
    <x v="128"/>
    <x v="5"/>
    <x v="40"/>
  </r>
  <r>
    <x v="5"/>
    <x v="151"/>
    <x v="3"/>
    <x v="21"/>
    <x v="34"/>
    <x v="128"/>
    <x v="0"/>
    <x v="0"/>
    <x v="0"/>
    <x v="12"/>
    <x v="3"/>
    <x v="4"/>
    <x v="0"/>
    <x v="5"/>
    <x v="5"/>
    <x v="5"/>
    <x v="128"/>
    <x v="128"/>
    <x v="3"/>
    <x v="128"/>
    <x v="47"/>
    <x v="128"/>
    <x v="5"/>
    <x v="40"/>
  </r>
  <r>
    <x v="5"/>
    <x v="152"/>
    <x v="3"/>
    <x v="22"/>
    <x v="31"/>
    <x v="129"/>
    <x v="0"/>
    <x v="0"/>
    <x v="0"/>
    <x v="11"/>
    <x v="4"/>
    <x v="4"/>
    <x v="0"/>
    <x v="1"/>
    <x v="1"/>
    <x v="1"/>
    <x v="129"/>
    <x v="129"/>
    <x v="3"/>
    <x v="129"/>
    <x v="55"/>
    <x v="129"/>
    <x v="5"/>
    <x v="36"/>
  </r>
  <r>
    <x v="5"/>
    <x v="153"/>
    <x v="3"/>
    <x v="23"/>
    <x v="31"/>
    <x v="129"/>
    <x v="0"/>
    <x v="0"/>
    <x v="0"/>
    <x v="11"/>
    <x v="4"/>
    <x v="4"/>
    <x v="0"/>
    <x v="1"/>
    <x v="1"/>
    <x v="1"/>
    <x v="129"/>
    <x v="129"/>
    <x v="3"/>
    <x v="129"/>
    <x v="55"/>
    <x v="129"/>
    <x v="5"/>
    <x v="36"/>
  </r>
  <r>
    <x v="5"/>
    <x v="154"/>
    <x v="3"/>
    <x v="24"/>
    <x v="34"/>
    <x v="130"/>
    <x v="0"/>
    <x v="0"/>
    <x v="0"/>
    <x v="12"/>
    <x v="3"/>
    <x v="4"/>
    <x v="0"/>
    <x v="6"/>
    <x v="6"/>
    <x v="6"/>
    <x v="130"/>
    <x v="130"/>
    <x v="3"/>
    <x v="130"/>
    <x v="47"/>
    <x v="130"/>
    <x v="5"/>
    <x v="41"/>
  </r>
  <r>
    <x v="5"/>
    <x v="155"/>
    <x v="3"/>
    <x v="25"/>
    <x v="34"/>
    <x v="131"/>
    <x v="0"/>
    <x v="0"/>
    <x v="0"/>
    <x v="13"/>
    <x v="5"/>
    <x v="4"/>
    <x v="0"/>
    <x v="6"/>
    <x v="6"/>
    <x v="6"/>
    <x v="131"/>
    <x v="131"/>
    <x v="3"/>
    <x v="131"/>
    <x v="47"/>
    <x v="131"/>
    <x v="5"/>
    <x v="41"/>
  </r>
  <r>
    <x v="6"/>
    <x v="156"/>
    <x v="0"/>
    <x v="0"/>
    <x v="0"/>
    <x v="132"/>
    <x v="0"/>
    <x v="0"/>
    <x v="0"/>
    <x v="0"/>
    <x v="0"/>
    <x v="0"/>
    <x v="0"/>
    <x v="0"/>
    <x v="0"/>
    <x v="0"/>
    <x v="65"/>
    <x v="132"/>
    <x v="13"/>
    <x v="132"/>
    <x v="1"/>
    <x v="132"/>
    <x v="0"/>
    <x v="0"/>
  </r>
  <r>
    <x v="6"/>
    <x v="157"/>
    <x v="0"/>
    <x v="1"/>
    <x v="0"/>
    <x v="133"/>
    <x v="0"/>
    <x v="0"/>
    <x v="1"/>
    <x v="1"/>
    <x v="0"/>
    <x v="0"/>
    <x v="0"/>
    <x v="0"/>
    <x v="0"/>
    <x v="0"/>
    <x v="132"/>
    <x v="133"/>
    <x v="13"/>
    <x v="133"/>
    <x v="1"/>
    <x v="133"/>
    <x v="0"/>
    <x v="0"/>
  </r>
  <r>
    <x v="6"/>
    <x v="158"/>
    <x v="0"/>
    <x v="2"/>
    <x v="0"/>
    <x v="134"/>
    <x v="0"/>
    <x v="0"/>
    <x v="2"/>
    <x v="2"/>
    <x v="0"/>
    <x v="0"/>
    <x v="0"/>
    <x v="0"/>
    <x v="0"/>
    <x v="0"/>
    <x v="133"/>
    <x v="134"/>
    <x v="13"/>
    <x v="134"/>
    <x v="1"/>
    <x v="134"/>
    <x v="0"/>
    <x v="0"/>
  </r>
  <r>
    <x v="6"/>
    <x v="159"/>
    <x v="0"/>
    <x v="3"/>
    <x v="1"/>
    <x v="135"/>
    <x v="0"/>
    <x v="1"/>
    <x v="0"/>
    <x v="2"/>
    <x v="1"/>
    <x v="1"/>
    <x v="0"/>
    <x v="1"/>
    <x v="1"/>
    <x v="1"/>
    <x v="134"/>
    <x v="135"/>
    <x v="13"/>
    <x v="135"/>
    <x v="56"/>
    <x v="135"/>
    <x v="0"/>
    <x v="1"/>
  </r>
  <r>
    <x v="6"/>
    <x v="160"/>
    <x v="0"/>
    <x v="4"/>
    <x v="1"/>
    <x v="136"/>
    <x v="0"/>
    <x v="1"/>
    <x v="1"/>
    <x v="3"/>
    <x v="1"/>
    <x v="2"/>
    <x v="0"/>
    <x v="1"/>
    <x v="1"/>
    <x v="1"/>
    <x v="135"/>
    <x v="136"/>
    <x v="13"/>
    <x v="136"/>
    <x v="56"/>
    <x v="136"/>
    <x v="0"/>
    <x v="1"/>
  </r>
  <r>
    <x v="6"/>
    <x v="161"/>
    <x v="0"/>
    <x v="5"/>
    <x v="2"/>
    <x v="137"/>
    <x v="1"/>
    <x v="1"/>
    <x v="0"/>
    <x v="4"/>
    <x v="2"/>
    <x v="0"/>
    <x v="0"/>
    <x v="2"/>
    <x v="2"/>
    <x v="2"/>
    <x v="136"/>
    <x v="137"/>
    <x v="13"/>
    <x v="137"/>
    <x v="57"/>
    <x v="137"/>
    <x v="0"/>
    <x v="2"/>
  </r>
  <r>
    <x v="6"/>
    <x v="162"/>
    <x v="0"/>
    <x v="6"/>
    <x v="2"/>
    <x v="138"/>
    <x v="1"/>
    <x v="1"/>
    <x v="2"/>
    <x v="5"/>
    <x v="2"/>
    <x v="0"/>
    <x v="0"/>
    <x v="2"/>
    <x v="2"/>
    <x v="2"/>
    <x v="137"/>
    <x v="138"/>
    <x v="13"/>
    <x v="138"/>
    <x v="57"/>
    <x v="138"/>
    <x v="0"/>
    <x v="2"/>
  </r>
  <r>
    <x v="6"/>
    <x v="163"/>
    <x v="1"/>
    <x v="7"/>
    <x v="0"/>
    <x v="139"/>
    <x v="0"/>
    <x v="1"/>
    <x v="0"/>
    <x v="4"/>
    <x v="2"/>
    <x v="0"/>
    <x v="0"/>
    <x v="3"/>
    <x v="3"/>
    <x v="3"/>
    <x v="138"/>
    <x v="139"/>
    <x v="12"/>
    <x v="139"/>
    <x v="58"/>
    <x v="139"/>
    <x v="0"/>
    <x v="3"/>
  </r>
  <r>
    <x v="6"/>
    <x v="164"/>
    <x v="1"/>
    <x v="8"/>
    <x v="0"/>
    <x v="140"/>
    <x v="2"/>
    <x v="2"/>
    <x v="0"/>
    <x v="6"/>
    <x v="2"/>
    <x v="0"/>
    <x v="0"/>
    <x v="3"/>
    <x v="3"/>
    <x v="3"/>
    <x v="139"/>
    <x v="140"/>
    <x v="12"/>
    <x v="140"/>
    <x v="58"/>
    <x v="140"/>
    <x v="0"/>
    <x v="3"/>
  </r>
  <r>
    <x v="6"/>
    <x v="165"/>
    <x v="1"/>
    <x v="9"/>
    <x v="0"/>
    <x v="141"/>
    <x v="2"/>
    <x v="1"/>
    <x v="3"/>
    <x v="7"/>
    <x v="2"/>
    <x v="0"/>
    <x v="0"/>
    <x v="3"/>
    <x v="3"/>
    <x v="3"/>
    <x v="140"/>
    <x v="141"/>
    <x v="12"/>
    <x v="141"/>
    <x v="58"/>
    <x v="141"/>
    <x v="0"/>
    <x v="3"/>
  </r>
  <r>
    <x v="6"/>
    <x v="166"/>
    <x v="1"/>
    <x v="10"/>
    <x v="0"/>
    <x v="142"/>
    <x v="0"/>
    <x v="3"/>
    <x v="4"/>
    <x v="5"/>
    <x v="2"/>
    <x v="0"/>
    <x v="0"/>
    <x v="4"/>
    <x v="4"/>
    <x v="4"/>
    <x v="141"/>
    <x v="142"/>
    <x v="12"/>
    <x v="142"/>
    <x v="58"/>
    <x v="142"/>
    <x v="0"/>
    <x v="4"/>
  </r>
  <r>
    <x v="6"/>
    <x v="167"/>
    <x v="1"/>
    <x v="11"/>
    <x v="3"/>
    <x v="143"/>
    <x v="2"/>
    <x v="3"/>
    <x v="5"/>
    <x v="8"/>
    <x v="2"/>
    <x v="0"/>
    <x v="0"/>
    <x v="4"/>
    <x v="4"/>
    <x v="4"/>
    <x v="142"/>
    <x v="143"/>
    <x v="12"/>
    <x v="143"/>
    <x v="59"/>
    <x v="143"/>
    <x v="0"/>
    <x v="4"/>
  </r>
  <r>
    <x v="6"/>
    <x v="168"/>
    <x v="1"/>
    <x v="12"/>
    <x v="3"/>
    <x v="144"/>
    <x v="2"/>
    <x v="3"/>
    <x v="2"/>
    <x v="9"/>
    <x v="2"/>
    <x v="0"/>
    <x v="0"/>
    <x v="4"/>
    <x v="4"/>
    <x v="4"/>
    <x v="143"/>
    <x v="144"/>
    <x v="12"/>
    <x v="144"/>
    <x v="59"/>
    <x v="144"/>
    <x v="0"/>
    <x v="4"/>
  </r>
  <r>
    <x v="6"/>
    <x v="169"/>
    <x v="1"/>
    <x v="13"/>
    <x v="0"/>
    <x v="139"/>
    <x v="0"/>
    <x v="1"/>
    <x v="0"/>
    <x v="4"/>
    <x v="2"/>
    <x v="0"/>
    <x v="0"/>
    <x v="3"/>
    <x v="3"/>
    <x v="3"/>
    <x v="138"/>
    <x v="139"/>
    <x v="12"/>
    <x v="139"/>
    <x v="58"/>
    <x v="139"/>
    <x v="0"/>
    <x v="3"/>
  </r>
  <r>
    <x v="6"/>
    <x v="170"/>
    <x v="1"/>
    <x v="14"/>
    <x v="0"/>
    <x v="145"/>
    <x v="0"/>
    <x v="3"/>
    <x v="0"/>
    <x v="10"/>
    <x v="2"/>
    <x v="0"/>
    <x v="0"/>
    <x v="3"/>
    <x v="3"/>
    <x v="3"/>
    <x v="144"/>
    <x v="145"/>
    <x v="12"/>
    <x v="145"/>
    <x v="58"/>
    <x v="145"/>
    <x v="0"/>
    <x v="3"/>
  </r>
  <r>
    <x v="6"/>
    <x v="171"/>
    <x v="1"/>
    <x v="15"/>
    <x v="4"/>
    <x v="146"/>
    <x v="2"/>
    <x v="0"/>
    <x v="2"/>
    <x v="11"/>
    <x v="0"/>
    <x v="2"/>
    <x v="0"/>
    <x v="4"/>
    <x v="4"/>
    <x v="4"/>
    <x v="145"/>
    <x v="146"/>
    <x v="12"/>
    <x v="146"/>
    <x v="60"/>
    <x v="146"/>
    <x v="0"/>
    <x v="4"/>
  </r>
  <r>
    <x v="6"/>
    <x v="172"/>
    <x v="1"/>
    <x v="16"/>
    <x v="4"/>
    <x v="147"/>
    <x v="2"/>
    <x v="1"/>
    <x v="2"/>
    <x v="11"/>
    <x v="0"/>
    <x v="3"/>
    <x v="0"/>
    <x v="4"/>
    <x v="4"/>
    <x v="4"/>
    <x v="146"/>
    <x v="147"/>
    <x v="12"/>
    <x v="147"/>
    <x v="60"/>
    <x v="147"/>
    <x v="0"/>
    <x v="4"/>
  </r>
  <r>
    <x v="6"/>
    <x v="173"/>
    <x v="2"/>
    <x v="17"/>
    <x v="0"/>
    <x v="148"/>
    <x v="3"/>
    <x v="3"/>
    <x v="0"/>
    <x v="7"/>
    <x v="0"/>
    <x v="2"/>
    <x v="0"/>
    <x v="0"/>
    <x v="0"/>
    <x v="0"/>
    <x v="147"/>
    <x v="148"/>
    <x v="14"/>
    <x v="148"/>
    <x v="61"/>
    <x v="148"/>
    <x v="0"/>
    <x v="0"/>
  </r>
  <r>
    <x v="6"/>
    <x v="174"/>
    <x v="2"/>
    <x v="18"/>
    <x v="0"/>
    <x v="148"/>
    <x v="3"/>
    <x v="3"/>
    <x v="0"/>
    <x v="7"/>
    <x v="0"/>
    <x v="2"/>
    <x v="0"/>
    <x v="0"/>
    <x v="0"/>
    <x v="0"/>
    <x v="147"/>
    <x v="148"/>
    <x v="14"/>
    <x v="148"/>
    <x v="61"/>
    <x v="148"/>
    <x v="0"/>
    <x v="0"/>
  </r>
  <r>
    <x v="6"/>
    <x v="175"/>
    <x v="2"/>
    <x v="19"/>
    <x v="5"/>
    <x v="149"/>
    <x v="1"/>
    <x v="3"/>
    <x v="0"/>
    <x v="7"/>
    <x v="0"/>
    <x v="2"/>
    <x v="0"/>
    <x v="1"/>
    <x v="1"/>
    <x v="1"/>
    <x v="148"/>
    <x v="149"/>
    <x v="14"/>
    <x v="149"/>
    <x v="62"/>
    <x v="149"/>
    <x v="0"/>
    <x v="1"/>
  </r>
  <r>
    <x v="6"/>
    <x v="176"/>
    <x v="3"/>
    <x v="20"/>
    <x v="5"/>
    <x v="150"/>
    <x v="0"/>
    <x v="0"/>
    <x v="0"/>
    <x v="12"/>
    <x v="3"/>
    <x v="4"/>
    <x v="0"/>
    <x v="5"/>
    <x v="5"/>
    <x v="5"/>
    <x v="149"/>
    <x v="150"/>
    <x v="7"/>
    <x v="150"/>
    <x v="63"/>
    <x v="150"/>
    <x v="0"/>
    <x v="5"/>
  </r>
  <r>
    <x v="6"/>
    <x v="177"/>
    <x v="3"/>
    <x v="21"/>
    <x v="5"/>
    <x v="150"/>
    <x v="0"/>
    <x v="0"/>
    <x v="0"/>
    <x v="12"/>
    <x v="3"/>
    <x v="4"/>
    <x v="0"/>
    <x v="5"/>
    <x v="5"/>
    <x v="5"/>
    <x v="149"/>
    <x v="150"/>
    <x v="7"/>
    <x v="150"/>
    <x v="63"/>
    <x v="150"/>
    <x v="0"/>
    <x v="5"/>
  </r>
  <r>
    <x v="6"/>
    <x v="178"/>
    <x v="3"/>
    <x v="22"/>
    <x v="1"/>
    <x v="151"/>
    <x v="0"/>
    <x v="0"/>
    <x v="0"/>
    <x v="11"/>
    <x v="4"/>
    <x v="4"/>
    <x v="0"/>
    <x v="1"/>
    <x v="1"/>
    <x v="1"/>
    <x v="150"/>
    <x v="151"/>
    <x v="7"/>
    <x v="151"/>
    <x v="64"/>
    <x v="151"/>
    <x v="0"/>
    <x v="1"/>
  </r>
  <r>
    <x v="6"/>
    <x v="179"/>
    <x v="3"/>
    <x v="23"/>
    <x v="1"/>
    <x v="151"/>
    <x v="0"/>
    <x v="0"/>
    <x v="0"/>
    <x v="11"/>
    <x v="4"/>
    <x v="4"/>
    <x v="0"/>
    <x v="1"/>
    <x v="1"/>
    <x v="1"/>
    <x v="150"/>
    <x v="151"/>
    <x v="7"/>
    <x v="151"/>
    <x v="64"/>
    <x v="151"/>
    <x v="0"/>
    <x v="1"/>
  </r>
  <r>
    <x v="6"/>
    <x v="180"/>
    <x v="3"/>
    <x v="24"/>
    <x v="5"/>
    <x v="152"/>
    <x v="0"/>
    <x v="0"/>
    <x v="0"/>
    <x v="12"/>
    <x v="3"/>
    <x v="4"/>
    <x v="0"/>
    <x v="6"/>
    <x v="6"/>
    <x v="6"/>
    <x v="151"/>
    <x v="152"/>
    <x v="7"/>
    <x v="152"/>
    <x v="63"/>
    <x v="152"/>
    <x v="0"/>
    <x v="6"/>
  </r>
  <r>
    <x v="6"/>
    <x v="181"/>
    <x v="3"/>
    <x v="25"/>
    <x v="5"/>
    <x v="153"/>
    <x v="0"/>
    <x v="0"/>
    <x v="0"/>
    <x v="13"/>
    <x v="5"/>
    <x v="4"/>
    <x v="0"/>
    <x v="6"/>
    <x v="6"/>
    <x v="6"/>
    <x v="152"/>
    <x v="153"/>
    <x v="7"/>
    <x v="153"/>
    <x v="63"/>
    <x v="153"/>
    <x v="0"/>
    <x v="6"/>
  </r>
  <r>
    <x v="7"/>
    <x v="182"/>
    <x v="0"/>
    <x v="0"/>
    <x v="9"/>
    <x v="154"/>
    <x v="0"/>
    <x v="0"/>
    <x v="0"/>
    <x v="0"/>
    <x v="0"/>
    <x v="0"/>
    <x v="0"/>
    <x v="0"/>
    <x v="0"/>
    <x v="0"/>
    <x v="153"/>
    <x v="154"/>
    <x v="2"/>
    <x v="154"/>
    <x v="65"/>
    <x v="154"/>
    <x v="6"/>
    <x v="10"/>
  </r>
  <r>
    <x v="7"/>
    <x v="183"/>
    <x v="0"/>
    <x v="1"/>
    <x v="9"/>
    <x v="155"/>
    <x v="0"/>
    <x v="0"/>
    <x v="1"/>
    <x v="1"/>
    <x v="0"/>
    <x v="0"/>
    <x v="0"/>
    <x v="0"/>
    <x v="0"/>
    <x v="0"/>
    <x v="154"/>
    <x v="155"/>
    <x v="2"/>
    <x v="155"/>
    <x v="65"/>
    <x v="155"/>
    <x v="6"/>
    <x v="10"/>
  </r>
  <r>
    <x v="7"/>
    <x v="184"/>
    <x v="0"/>
    <x v="2"/>
    <x v="9"/>
    <x v="156"/>
    <x v="0"/>
    <x v="0"/>
    <x v="2"/>
    <x v="2"/>
    <x v="0"/>
    <x v="0"/>
    <x v="0"/>
    <x v="0"/>
    <x v="0"/>
    <x v="0"/>
    <x v="155"/>
    <x v="156"/>
    <x v="2"/>
    <x v="156"/>
    <x v="65"/>
    <x v="156"/>
    <x v="6"/>
    <x v="10"/>
  </r>
  <r>
    <x v="7"/>
    <x v="185"/>
    <x v="0"/>
    <x v="3"/>
    <x v="35"/>
    <x v="157"/>
    <x v="0"/>
    <x v="1"/>
    <x v="0"/>
    <x v="2"/>
    <x v="1"/>
    <x v="1"/>
    <x v="0"/>
    <x v="1"/>
    <x v="1"/>
    <x v="1"/>
    <x v="156"/>
    <x v="157"/>
    <x v="2"/>
    <x v="157"/>
    <x v="66"/>
    <x v="157"/>
    <x v="6"/>
    <x v="42"/>
  </r>
  <r>
    <x v="7"/>
    <x v="186"/>
    <x v="0"/>
    <x v="4"/>
    <x v="35"/>
    <x v="158"/>
    <x v="0"/>
    <x v="1"/>
    <x v="1"/>
    <x v="3"/>
    <x v="1"/>
    <x v="2"/>
    <x v="0"/>
    <x v="1"/>
    <x v="1"/>
    <x v="1"/>
    <x v="157"/>
    <x v="158"/>
    <x v="2"/>
    <x v="158"/>
    <x v="66"/>
    <x v="158"/>
    <x v="6"/>
    <x v="42"/>
  </r>
  <r>
    <x v="7"/>
    <x v="187"/>
    <x v="0"/>
    <x v="5"/>
    <x v="36"/>
    <x v="159"/>
    <x v="1"/>
    <x v="1"/>
    <x v="0"/>
    <x v="4"/>
    <x v="2"/>
    <x v="0"/>
    <x v="0"/>
    <x v="2"/>
    <x v="2"/>
    <x v="2"/>
    <x v="158"/>
    <x v="159"/>
    <x v="2"/>
    <x v="159"/>
    <x v="67"/>
    <x v="159"/>
    <x v="6"/>
    <x v="43"/>
  </r>
  <r>
    <x v="7"/>
    <x v="188"/>
    <x v="0"/>
    <x v="6"/>
    <x v="36"/>
    <x v="160"/>
    <x v="1"/>
    <x v="1"/>
    <x v="2"/>
    <x v="5"/>
    <x v="2"/>
    <x v="0"/>
    <x v="0"/>
    <x v="2"/>
    <x v="2"/>
    <x v="2"/>
    <x v="159"/>
    <x v="160"/>
    <x v="2"/>
    <x v="160"/>
    <x v="67"/>
    <x v="160"/>
    <x v="6"/>
    <x v="43"/>
  </r>
  <r>
    <x v="7"/>
    <x v="189"/>
    <x v="1"/>
    <x v="7"/>
    <x v="9"/>
    <x v="161"/>
    <x v="0"/>
    <x v="1"/>
    <x v="0"/>
    <x v="4"/>
    <x v="2"/>
    <x v="0"/>
    <x v="0"/>
    <x v="3"/>
    <x v="3"/>
    <x v="3"/>
    <x v="160"/>
    <x v="161"/>
    <x v="3"/>
    <x v="161"/>
    <x v="68"/>
    <x v="161"/>
    <x v="6"/>
    <x v="44"/>
  </r>
  <r>
    <x v="7"/>
    <x v="190"/>
    <x v="1"/>
    <x v="8"/>
    <x v="9"/>
    <x v="162"/>
    <x v="2"/>
    <x v="2"/>
    <x v="0"/>
    <x v="6"/>
    <x v="2"/>
    <x v="0"/>
    <x v="0"/>
    <x v="3"/>
    <x v="3"/>
    <x v="3"/>
    <x v="161"/>
    <x v="162"/>
    <x v="3"/>
    <x v="162"/>
    <x v="68"/>
    <x v="162"/>
    <x v="6"/>
    <x v="44"/>
  </r>
  <r>
    <x v="7"/>
    <x v="191"/>
    <x v="1"/>
    <x v="9"/>
    <x v="9"/>
    <x v="163"/>
    <x v="2"/>
    <x v="1"/>
    <x v="3"/>
    <x v="7"/>
    <x v="2"/>
    <x v="0"/>
    <x v="0"/>
    <x v="3"/>
    <x v="3"/>
    <x v="3"/>
    <x v="162"/>
    <x v="163"/>
    <x v="3"/>
    <x v="163"/>
    <x v="68"/>
    <x v="163"/>
    <x v="6"/>
    <x v="44"/>
  </r>
  <r>
    <x v="7"/>
    <x v="192"/>
    <x v="1"/>
    <x v="10"/>
    <x v="9"/>
    <x v="164"/>
    <x v="0"/>
    <x v="3"/>
    <x v="4"/>
    <x v="5"/>
    <x v="2"/>
    <x v="0"/>
    <x v="0"/>
    <x v="4"/>
    <x v="4"/>
    <x v="4"/>
    <x v="163"/>
    <x v="164"/>
    <x v="3"/>
    <x v="164"/>
    <x v="68"/>
    <x v="164"/>
    <x v="6"/>
    <x v="45"/>
  </r>
  <r>
    <x v="7"/>
    <x v="193"/>
    <x v="1"/>
    <x v="11"/>
    <x v="37"/>
    <x v="165"/>
    <x v="2"/>
    <x v="3"/>
    <x v="5"/>
    <x v="8"/>
    <x v="2"/>
    <x v="0"/>
    <x v="0"/>
    <x v="4"/>
    <x v="4"/>
    <x v="4"/>
    <x v="164"/>
    <x v="165"/>
    <x v="3"/>
    <x v="165"/>
    <x v="69"/>
    <x v="165"/>
    <x v="6"/>
    <x v="45"/>
  </r>
  <r>
    <x v="7"/>
    <x v="194"/>
    <x v="1"/>
    <x v="12"/>
    <x v="37"/>
    <x v="166"/>
    <x v="2"/>
    <x v="3"/>
    <x v="2"/>
    <x v="9"/>
    <x v="2"/>
    <x v="0"/>
    <x v="0"/>
    <x v="4"/>
    <x v="4"/>
    <x v="4"/>
    <x v="165"/>
    <x v="166"/>
    <x v="3"/>
    <x v="166"/>
    <x v="69"/>
    <x v="166"/>
    <x v="6"/>
    <x v="45"/>
  </r>
  <r>
    <x v="7"/>
    <x v="195"/>
    <x v="1"/>
    <x v="13"/>
    <x v="9"/>
    <x v="161"/>
    <x v="0"/>
    <x v="1"/>
    <x v="0"/>
    <x v="4"/>
    <x v="2"/>
    <x v="0"/>
    <x v="0"/>
    <x v="3"/>
    <x v="3"/>
    <x v="3"/>
    <x v="160"/>
    <x v="161"/>
    <x v="3"/>
    <x v="161"/>
    <x v="68"/>
    <x v="161"/>
    <x v="6"/>
    <x v="44"/>
  </r>
  <r>
    <x v="7"/>
    <x v="196"/>
    <x v="1"/>
    <x v="14"/>
    <x v="9"/>
    <x v="167"/>
    <x v="0"/>
    <x v="3"/>
    <x v="0"/>
    <x v="10"/>
    <x v="2"/>
    <x v="0"/>
    <x v="0"/>
    <x v="3"/>
    <x v="3"/>
    <x v="3"/>
    <x v="166"/>
    <x v="167"/>
    <x v="3"/>
    <x v="167"/>
    <x v="68"/>
    <x v="167"/>
    <x v="6"/>
    <x v="44"/>
  </r>
  <r>
    <x v="7"/>
    <x v="197"/>
    <x v="1"/>
    <x v="15"/>
    <x v="38"/>
    <x v="168"/>
    <x v="2"/>
    <x v="0"/>
    <x v="2"/>
    <x v="11"/>
    <x v="0"/>
    <x v="2"/>
    <x v="0"/>
    <x v="4"/>
    <x v="4"/>
    <x v="4"/>
    <x v="167"/>
    <x v="168"/>
    <x v="3"/>
    <x v="168"/>
    <x v="70"/>
    <x v="168"/>
    <x v="6"/>
    <x v="45"/>
  </r>
  <r>
    <x v="7"/>
    <x v="198"/>
    <x v="1"/>
    <x v="16"/>
    <x v="38"/>
    <x v="169"/>
    <x v="2"/>
    <x v="1"/>
    <x v="2"/>
    <x v="11"/>
    <x v="0"/>
    <x v="3"/>
    <x v="0"/>
    <x v="4"/>
    <x v="4"/>
    <x v="4"/>
    <x v="168"/>
    <x v="169"/>
    <x v="3"/>
    <x v="169"/>
    <x v="70"/>
    <x v="169"/>
    <x v="6"/>
    <x v="45"/>
  </r>
  <r>
    <x v="7"/>
    <x v="199"/>
    <x v="2"/>
    <x v="17"/>
    <x v="9"/>
    <x v="170"/>
    <x v="3"/>
    <x v="3"/>
    <x v="0"/>
    <x v="7"/>
    <x v="0"/>
    <x v="2"/>
    <x v="0"/>
    <x v="0"/>
    <x v="0"/>
    <x v="0"/>
    <x v="169"/>
    <x v="170"/>
    <x v="10"/>
    <x v="170"/>
    <x v="71"/>
    <x v="170"/>
    <x v="6"/>
    <x v="10"/>
  </r>
  <r>
    <x v="7"/>
    <x v="200"/>
    <x v="2"/>
    <x v="18"/>
    <x v="9"/>
    <x v="170"/>
    <x v="3"/>
    <x v="3"/>
    <x v="0"/>
    <x v="7"/>
    <x v="0"/>
    <x v="2"/>
    <x v="0"/>
    <x v="0"/>
    <x v="0"/>
    <x v="0"/>
    <x v="169"/>
    <x v="170"/>
    <x v="10"/>
    <x v="170"/>
    <x v="71"/>
    <x v="170"/>
    <x v="6"/>
    <x v="10"/>
  </r>
  <r>
    <x v="7"/>
    <x v="201"/>
    <x v="2"/>
    <x v="19"/>
    <x v="7"/>
    <x v="171"/>
    <x v="1"/>
    <x v="3"/>
    <x v="0"/>
    <x v="7"/>
    <x v="0"/>
    <x v="2"/>
    <x v="0"/>
    <x v="1"/>
    <x v="1"/>
    <x v="1"/>
    <x v="170"/>
    <x v="171"/>
    <x v="10"/>
    <x v="171"/>
    <x v="6"/>
    <x v="171"/>
    <x v="6"/>
    <x v="42"/>
  </r>
  <r>
    <x v="7"/>
    <x v="202"/>
    <x v="3"/>
    <x v="20"/>
    <x v="7"/>
    <x v="172"/>
    <x v="0"/>
    <x v="0"/>
    <x v="0"/>
    <x v="12"/>
    <x v="3"/>
    <x v="4"/>
    <x v="0"/>
    <x v="5"/>
    <x v="5"/>
    <x v="5"/>
    <x v="171"/>
    <x v="172"/>
    <x v="11"/>
    <x v="172"/>
    <x v="72"/>
    <x v="172"/>
    <x v="6"/>
    <x v="46"/>
  </r>
  <r>
    <x v="7"/>
    <x v="203"/>
    <x v="3"/>
    <x v="21"/>
    <x v="7"/>
    <x v="172"/>
    <x v="0"/>
    <x v="0"/>
    <x v="0"/>
    <x v="12"/>
    <x v="3"/>
    <x v="4"/>
    <x v="0"/>
    <x v="5"/>
    <x v="5"/>
    <x v="5"/>
    <x v="171"/>
    <x v="172"/>
    <x v="11"/>
    <x v="172"/>
    <x v="72"/>
    <x v="172"/>
    <x v="6"/>
    <x v="46"/>
  </r>
  <r>
    <x v="7"/>
    <x v="204"/>
    <x v="3"/>
    <x v="22"/>
    <x v="35"/>
    <x v="173"/>
    <x v="0"/>
    <x v="0"/>
    <x v="0"/>
    <x v="11"/>
    <x v="4"/>
    <x v="4"/>
    <x v="0"/>
    <x v="1"/>
    <x v="1"/>
    <x v="1"/>
    <x v="172"/>
    <x v="173"/>
    <x v="11"/>
    <x v="173"/>
    <x v="73"/>
    <x v="173"/>
    <x v="6"/>
    <x v="42"/>
  </r>
  <r>
    <x v="7"/>
    <x v="205"/>
    <x v="3"/>
    <x v="23"/>
    <x v="35"/>
    <x v="173"/>
    <x v="0"/>
    <x v="0"/>
    <x v="0"/>
    <x v="11"/>
    <x v="4"/>
    <x v="4"/>
    <x v="0"/>
    <x v="1"/>
    <x v="1"/>
    <x v="1"/>
    <x v="172"/>
    <x v="173"/>
    <x v="11"/>
    <x v="173"/>
    <x v="73"/>
    <x v="173"/>
    <x v="6"/>
    <x v="42"/>
  </r>
  <r>
    <x v="7"/>
    <x v="206"/>
    <x v="3"/>
    <x v="24"/>
    <x v="7"/>
    <x v="174"/>
    <x v="0"/>
    <x v="0"/>
    <x v="0"/>
    <x v="12"/>
    <x v="3"/>
    <x v="4"/>
    <x v="0"/>
    <x v="6"/>
    <x v="6"/>
    <x v="6"/>
    <x v="173"/>
    <x v="174"/>
    <x v="11"/>
    <x v="174"/>
    <x v="72"/>
    <x v="174"/>
    <x v="6"/>
    <x v="9"/>
  </r>
  <r>
    <x v="7"/>
    <x v="207"/>
    <x v="3"/>
    <x v="25"/>
    <x v="7"/>
    <x v="175"/>
    <x v="0"/>
    <x v="0"/>
    <x v="0"/>
    <x v="13"/>
    <x v="5"/>
    <x v="4"/>
    <x v="0"/>
    <x v="6"/>
    <x v="6"/>
    <x v="6"/>
    <x v="174"/>
    <x v="175"/>
    <x v="11"/>
    <x v="175"/>
    <x v="72"/>
    <x v="175"/>
    <x v="6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Сводная _x000a_таблица1" cacheId="1" applyNumberFormats="0" applyBorderFormats="0" applyFontFormats="0" applyPatternFormats="0" applyAlignmentFormats="0" applyWidthHeightFormats="1" dataCaption="Значения" updatedVersion="5" minRefreshableVersion="3" useAutoFormatting="1" createdVersion="5" indent="0" compact="0" outline="1" outlineData="1" compactData="0" multipleFieldFilters="0">
  <location ref="G66:I75" firstHeaderRow="0" firstDataRow="1" firstDataCol="1"/>
  <pivotFields count="24">
    <pivotField axis="axisRow" compact="0" showAll="0">
      <items count="9">
        <item x="6"/>
        <item x="1"/>
        <item x="2"/>
        <item x="0"/>
        <item x="5"/>
        <item x="3"/>
        <item x="4"/>
        <item x="7"/>
        <item t="default"/>
      </items>
    </pivotField>
    <pivotField compact="0" showAll="0">
      <items count="2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27">
        <item x="7"/>
        <item x="8"/>
        <item x="9"/>
        <item x="10"/>
        <item x="11"/>
        <item x="12"/>
        <item x="17"/>
        <item x="18"/>
        <item x="19"/>
        <item x="20"/>
        <item x="21"/>
        <item x="22"/>
        <item x="23"/>
        <item x="15"/>
        <item x="16"/>
        <item x="14"/>
        <item x="24"/>
        <item x="25"/>
        <item x="5"/>
        <item x="6"/>
        <item x="0"/>
        <item x="1"/>
        <item x="2"/>
        <item x="3"/>
        <item x="4"/>
        <item x="13"/>
        <item t="default"/>
      </items>
    </pivotField>
    <pivotField compact="0" numFmtId="165" showAll="0">
      <items count="40">
        <item x="32"/>
        <item x="20"/>
        <item x="26"/>
        <item x="2"/>
        <item x="8"/>
        <item x="14"/>
        <item x="34"/>
        <item x="23"/>
        <item x="36"/>
        <item x="29"/>
        <item x="5"/>
        <item x="11"/>
        <item x="31"/>
        <item x="17"/>
        <item x="19"/>
        <item x="25"/>
        <item x="1"/>
        <item x="7"/>
        <item x="13"/>
        <item x="30"/>
        <item x="18"/>
        <item x="35"/>
        <item x="24"/>
        <item x="0"/>
        <item x="6"/>
        <item x="33"/>
        <item x="12"/>
        <item x="21"/>
        <item x="27"/>
        <item x="3"/>
        <item x="9"/>
        <item x="15"/>
        <item x="22"/>
        <item x="28"/>
        <item x="4"/>
        <item x="10"/>
        <item x="16"/>
        <item x="37"/>
        <item x="38"/>
        <item t="default"/>
      </items>
    </pivotField>
    <pivotField compact="0" numFmtId="165" showAll="0">
      <items count="177">
        <item x="127"/>
        <item x="128"/>
        <item x="40"/>
        <item x="39"/>
        <item x="61"/>
        <item x="130"/>
        <item x="62"/>
        <item x="17"/>
        <item x="115"/>
        <item x="42"/>
        <item x="131"/>
        <item x="18"/>
        <item x="129"/>
        <item x="171"/>
        <item x="116"/>
        <item x="43"/>
        <item x="64"/>
        <item x="149"/>
        <item x="27"/>
        <item x="41"/>
        <item x="20"/>
        <item x="49"/>
        <item x="28"/>
        <item x="65"/>
        <item x="5"/>
        <item x="105"/>
        <item x="50"/>
        <item x="63"/>
        <item x="6"/>
        <item x="113"/>
        <item x="83"/>
        <item x="126"/>
        <item x="21"/>
        <item x="19"/>
        <item x="137"/>
        <item x="138"/>
        <item x="159"/>
        <item x="160"/>
        <item x="25"/>
        <item x="93"/>
        <item x="114"/>
        <item x="172"/>
        <item x="71"/>
        <item x="38"/>
        <item x="150"/>
        <item x="47"/>
        <item x="60"/>
        <item x="26"/>
        <item x="3"/>
        <item x="94"/>
        <item x="16"/>
        <item x="106"/>
        <item x="152"/>
        <item x="174"/>
        <item x="84"/>
        <item x="48"/>
        <item x="72"/>
        <item x="173"/>
        <item x="175"/>
        <item x="153"/>
        <item x="151"/>
        <item x="108"/>
        <item x="4"/>
        <item x="157"/>
        <item x="86"/>
        <item x="123"/>
        <item x="148"/>
        <item x="109"/>
        <item x="170"/>
        <item x="107"/>
        <item x="87"/>
        <item x="117"/>
        <item x="135"/>
        <item x="85"/>
        <item x="110"/>
        <item x="158"/>
        <item x="104"/>
        <item x="111"/>
        <item x="136"/>
        <item x="82"/>
        <item x="91"/>
        <item x="35"/>
        <item x="112"/>
        <item x="22"/>
        <item x="29"/>
        <item x="120"/>
        <item x="69"/>
        <item x="23"/>
        <item x="57"/>
        <item x="13"/>
        <item x="92"/>
        <item x="51"/>
        <item x="24"/>
        <item x="44"/>
        <item x="0"/>
        <item x="118"/>
        <item x="7"/>
        <item x="45"/>
        <item x="1"/>
        <item x="46"/>
        <item x="2"/>
        <item x="70"/>
        <item x="32"/>
        <item x="145"/>
        <item x="54"/>
        <item x="132"/>
        <item x="154"/>
        <item x="139"/>
        <item x="133"/>
        <item x="167"/>
        <item x="10"/>
        <item x="134"/>
        <item x="155"/>
        <item x="156"/>
        <item x="161"/>
        <item x="88"/>
        <item x="30"/>
        <item x="119"/>
        <item x="101"/>
        <item x="66"/>
        <item x="95"/>
        <item x="79"/>
        <item x="73"/>
        <item x="142"/>
        <item x="89"/>
        <item x="52"/>
        <item x="67"/>
        <item x="122"/>
        <item x="124"/>
        <item x="8"/>
        <item x="125"/>
        <item x="164"/>
        <item x="121"/>
        <item x="90"/>
        <item x="31"/>
        <item x="53"/>
        <item x="68"/>
        <item x="98"/>
        <item x="9"/>
        <item x="34"/>
        <item x="36"/>
        <item x="140"/>
        <item x="37"/>
        <item x="33"/>
        <item x="162"/>
        <item x="76"/>
        <item x="56"/>
        <item x="55"/>
        <item x="14"/>
        <item x="58"/>
        <item x="59"/>
        <item x="12"/>
        <item x="15"/>
        <item x="11"/>
        <item x="141"/>
        <item x="163"/>
        <item x="146"/>
        <item x="144"/>
        <item x="143"/>
        <item x="96"/>
        <item x="147"/>
        <item x="168"/>
        <item x="74"/>
        <item x="169"/>
        <item x="166"/>
        <item x="165"/>
        <item x="97"/>
        <item x="75"/>
        <item x="102"/>
        <item x="103"/>
        <item x="100"/>
        <item x="99"/>
        <item x="80"/>
        <item x="81"/>
        <item x="78"/>
        <item x="77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numFmtId="9" showAll="0">
      <items count="5">
        <item x="0"/>
        <item x="1"/>
        <item x="3"/>
        <item x="2"/>
        <item t="default"/>
      </items>
    </pivotField>
    <pivotField compact="0" numFmtId="9" showAll="0">
      <items count="7">
        <item x="0"/>
        <item x="1"/>
        <item x="3"/>
        <item x="4"/>
        <item x="2"/>
        <item x="5"/>
        <item t="default"/>
      </items>
    </pivotField>
    <pivotField compact="0" numFmtId="9" showAll="0">
      <items count="15">
        <item x="12"/>
        <item x="8"/>
        <item x="13"/>
        <item x="9"/>
        <item x="11"/>
        <item x="5"/>
        <item x="3"/>
        <item x="2"/>
        <item x="7"/>
        <item x="6"/>
        <item x="10"/>
        <item x="1"/>
        <item x="4"/>
        <item x="0"/>
        <item t="default"/>
      </items>
    </pivotField>
    <pivotField compact="0" numFmtId="9" showAll="0">
      <items count="7">
        <item x="0"/>
        <item x="2"/>
        <item x="1"/>
        <item x="4"/>
        <item x="5"/>
        <item x="3"/>
        <item t="default"/>
      </items>
    </pivotField>
    <pivotField compact="0" numFmtId="9" showAll="0">
      <items count="6">
        <item x="4"/>
        <item x="0"/>
        <item x="3"/>
        <item x="2"/>
        <item x="1"/>
        <item t="default"/>
      </items>
    </pivotField>
    <pivotField compact="0" numFmtId="9" showAll="0">
      <items count="2">
        <item x="0"/>
        <item t="default"/>
      </items>
    </pivotField>
    <pivotField compact="0" numFmtId="1" showAll="0">
      <items count="8">
        <item x="4"/>
        <item x="3"/>
        <item x="0"/>
        <item x="2"/>
        <item x="6"/>
        <item x="1"/>
        <item x="5"/>
        <item t="default"/>
      </items>
    </pivotField>
    <pivotField compact="0" numFmtId="2" showAll="0">
      <items count="8">
        <item x="5"/>
        <item x="1"/>
        <item x="6"/>
        <item x="2"/>
        <item x="0"/>
        <item x="3"/>
        <item x="4"/>
        <item t="default"/>
      </items>
    </pivotField>
    <pivotField compact="0" numFmtId="2" showAll="0">
      <items count="8">
        <item x="5"/>
        <item x="1"/>
        <item x="6"/>
        <item x="2"/>
        <item x="0"/>
        <item x="3"/>
        <item x="4"/>
        <item t="default"/>
      </items>
    </pivotField>
    <pivotField compact="0" numFmtId="173" showAll="0">
      <items count="176">
        <item x="75"/>
        <item x="77"/>
        <item x="78"/>
        <item x="97"/>
        <item x="74"/>
        <item x="96"/>
        <item x="99"/>
        <item x="72"/>
        <item x="100"/>
        <item x="76"/>
        <item x="70"/>
        <item x="94"/>
        <item x="140"/>
        <item x="71"/>
        <item x="87"/>
        <item x="68"/>
        <item x="93"/>
        <item x="86"/>
        <item x="109"/>
        <item x="69"/>
        <item x="92"/>
        <item x="137"/>
        <item x="98"/>
        <item x="136"/>
        <item x="139"/>
        <item x="84"/>
        <item x="108"/>
        <item x="116"/>
        <item x="119"/>
        <item x="6"/>
        <item x="81"/>
        <item x="9"/>
        <item x="5"/>
        <item x="67"/>
        <item x="152"/>
        <item x="115"/>
        <item x="80"/>
        <item x="106"/>
        <item x="28"/>
        <item x="50"/>
        <item x="91"/>
        <item x="90"/>
        <item x="151"/>
        <item x="49"/>
        <item x="27"/>
        <item x="85"/>
        <item x="73"/>
        <item x="79"/>
        <item x="66"/>
        <item x="159"/>
        <item x="149"/>
        <item x="158"/>
        <item x="135"/>
        <item x="8"/>
        <item x="89"/>
        <item x="107"/>
        <item x="83"/>
        <item x="118"/>
        <item x="95"/>
        <item x="53"/>
        <item x="134"/>
        <item x="101"/>
        <item x="31"/>
        <item x="131"/>
        <item x="114"/>
        <item x="88"/>
        <item x="105"/>
        <item x="21"/>
        <item x="121"/>
        <item x="141"/>
        <item x="130"/>
        <item x="120"/>
        <item x="142"/>
        <item x="143"/>
        <item x="4"/>
        <item x="122"/>
        <item x="150"/>
        <item x="20"/>
        <item x="103"/>
        <item x="112"/>
        <item x="113"/>
        <item x="128"/>
        <item x="148"/>
        <item x="174"/>
        <item x="127"/>
        <item x="133"/>
        <item x="3"/>
        <item x="10"/>
        <item x="132"/>
        <item x="138"/>
        <item x="18"/>
        <item x="102"/>
        <item x="65"/>
        <item x="111"/>
        <item x="30"/>
        <item x="43"/>
        <item x="173"/>
        <item x="52"/>
        <item x="144"/>
        <item x="11"/>
        <item x="129"/>
        <item x="17"/>
        <item x="110"/>
        <item x="26"/>
        <item x="12"/>
        <item x="117"/>
        <item x="48"/>
        <item x="64"/>
        <item x="42"/>
        <item x="2"/>
        <item x="162"/>
        <item x="123"/>
        <item x="1"/>
        <item x="171"/>
        <item x="19"/>
        <item x="39"/>
        <item x="82"/>
        <item x="25"/>
        <item x="7"/>
        <item x="62"/>
        <item x="47"/>
        <item x="0"/>
        <item x="32"/>
        <item x="61"/>
        <item x="40"/>
        <item x="13"/>
        <item x="54"/>
        <item x="161"/>
        <item x="33"/>
        <item x="24"/>
        <item x="104"/>
        <item x="46"/>
        <item x="34"/>
        <item x="157"/>
        <item x="63"/>
        <item x="23"/>
        <item x="45"/>
        <item x="41"/>
        <item x="55"/>
        <item x="44"/>
        <item x="51"/>
        <item x="170"/>
        <item x="29"/>
        <item x="56"/>
        <item x="22"/>
        <item x="125"/>
        <item x="124"/>
        <item x="156"/>
        <item x="35"/>
        <item x="57"/>
        <item x="172"/>
        <item x="126"/>
        <item x="147"/>
        <item x="163"/>
        <item x="146"/>
        <item x="145"/>
        <item x="16"/>
        <item x="15"/>
        <item x="160"/>
        <item x="14"/>
        <item x="155"/>
        <item x="154"/>
        <item x="166"/>
        <item x="153"/>
        <item x="38"/>
        <item x="164"/>
        <item x="165"/>
        <item x="60"/>
        <item x="37"/>
        <item x="36"/>
        <item x="59"/>
        <item x="58"/>
        <item x="169"/>
        <item x="168"/>
        <item x="167"/>
        <item t="default"/>
      </items>
    </pivotField>
    <pivotField compact="0" numFmtId="9" showAll="0">
      <items count="177">
        <item x="72"/>
        <item x="94"/>
        <item x="75"/>
        <item x="71"/>
        <item x="97"/>
        <item x="74"/>
        <item x="93"/>
        <item x="77"/>
        <item x="78"/>
        <item x="70"/>
        <item x="87"/>
        <item x="96"/>
        <item x="138"/>
        <item x="137"/>
        <item x="86"/>
        <item x="116"/>
        <item x="76"/>
        <item x="109"/>
        <item x="99"/>
        <item x="141"/>
        <item x="100"/>
        <item x="6"/>
        <item x="69"/>
        <item x="68"/>
        <item x="84"/>
        <item x="92"/>
        <item x="108"/>
        <item x="5"/>
        <item x="115"/>
        <item x="98"/>
        <item x="140"/>
        <item x="119"/>
        <item x="153"/>
        <item x="9"/>
        <item x="106"/>
        <item x="28"/>
        <item x="81"/>
        <item x="67"/>
        <item x="50"/>
        <item x="91"/>
        <item x="80"/>
        <item x="90"/>
        <item x="152"/>
        <item x="49"/>
        <item x="73"/>
        <item x="85"/>
        <item x="79"/>
        <item x="66"/>
        <item x="27"/>
        <item x="8"/>
        <item x="89"/>
        <item x="136"/>
        <item x="53"/>
        <item x="160"/>
        <item x="31"/>
        <item x="95"/>
        <item x="118"/>
        <item x="150"/>
        <item x="101"/>
        <item x="103"/>
        <item x="143"/>
        <item x="144"/>
        <item x="107"/>
        <item x="159"/>
        <item x="121"/>
        <item x="88"/>
        <item x="102"/>
        <item x="142"/>
        <item x="122"/>
        <item x="135"/>
        <item x="83"/>
        <item x="120"/>
        <item x="11"/>
        <item x="12"/>
        <item x="163"/>
        <item x="134"/>
        <item x="114"/>
        <item x="10"/>
        <item x="133"/>
        <item x="139"/>
        <item x="52"/>
        <item x="112"/>
        <item x="132"/>
        <item x="30"/>
        <item x="4"/>
        <item x="151"/>
        <item x="145"/>
        <item x="21"/>
        <item x="105"/>
        <item x="131"/>
        <item x="162"/>
        <item x="33"/>
        <item x="111"/>
        <item x="2"/>
        <item x="34"/>
        <item x="175"/>
        <item x="55"/>
        <item x="1"/>
        <item x="32"/>
        <item x="56"/>
        <item x="54"/>
        <item x="110"/>
        <item x="7"/>
        <item x="0"/>
        <item x="3"/>
        <item x="147"/>
        <item x="117"/>
        <item x="113"/>
        <item x="146"/>
        <item x="20"/>
        <item x="125"/>
        <item x="174"/>
        <item x="13"/>
        <item x="124"/>
        <item x="130"/>
        <item x="82"/>
        <item x="48"/>
        <item x="123"/>
        <item x="26"/>
        <item x="46"/>
        <item x="24"/>
        <item x="164"/>
        <item x="165"/>
        <item x="166"/>
        <item x="15"/>
        <item x="45"/>
        <item x="65"/>
        <item x="14"/>
        <item x="149"/>
        <item x="44"/>
        <item x="23"/>
        <item x="51"/>
        <item x="104"/>
        <item x="29"/>
        <item x="22"/>
        <item x="47"/>
        <item x="18"/>
        <item x="158"/>
        <item x="172"/>
        <item x="57"/>
        <item x="43"/>
        <item x="128"/>
        <item x="25"/>
        <item x="35"/>
        <item x="37"/>
        <item x="19"/>
        <item x="36"/>
        <item x="59"/>
        <item x="58"/>
        <item x="129"/>
        <item x="161"/>
        <item x="156"/>
        <item x="64"/>
        <item x="155"/>
        <item x="167"/>
        <item x="157"/>
        <item x="154"/>
        <item x="17"/>
        <item x="127"/>
        <item x="173"/>
        <item x="42"/>
        <item x="148"/>
        <item x="169"/>
        <item x="168"/>
        <item x="63"/>
        <item x="62"/>
        <item x="61"/>
        <item x="16"/>
        <item x="39"/>
        <item x="41"/>
        <item x="126"/>
        <item x="40"/>
        <item x="171"/>
        <item x="60"/>
        <item x="38"/>
        <item x="170"/>
        <item t="default"/>
      </items>
    </pivotField>
    <pivotField compact="0" numFmtId="9" showAll="0">
      <items count="16">
        <item x="13"/>
        <item x="0"/>
        <item x="2"/>
        <item x="5"/>
        <item x="14"/>
        <item x="10"/>
        <item x="1"/>
        <item x="4"/>
        <item x="12"/>
        <item x="9"/>
        <item x="7"/>
        <item x="3"/>
        <item x="6"/>
        <item x="8"/>
        <item x="11"/>
        <item t="default"/>
      </items>
    </pivotField>
    <pivotField compact="0" numFmtId="173" showAll="0">
      <items count="177">
        <item x="75"/>
        <item x="77"/>
        <item x="78"/>
        <item x="74"/>
        <item x="97"/>
        <item x="96"/>
        <item x="99"/>
        <item x="76"/>
        <item x="100"/>
        <item x="72"/>
        <item x="87"/>
        <item x="141"/>
        <item x="70"/>
        <item x="86"/>
        <item x="94"/>
        <item x="109"/>
        <item x="71"/>
        <item x="68"/>
        <item x="98"/>
        <item x="93"/>
        <item x="108"/>
        <item x="84"/>
        <item x="69"/>
        <item x="140"/>
        <item x="81"/>
        <item x="92"/>
        <item x="119"/>
        <item x="9"/>
        <item x="116"/>
        <item x="153"/>
        <item x="80"/>
        <item x="106"/>
        <item x="138"/>
        <item x="67"/>
        <item x="137"/>
        <item x="6"/>
        <item x="5"/>
        <item x="115"/>
        <item x="28"/>
        <item x="91"/>
        <item x="50"/>
        <item x="90"/>
        <item x="152"/>
        <item x="49"/>
        <item x="27"/>
        <item x="136"/>
        <item x="85"/>
        <item x="160"/>
        <item x="73"/>
        <item x="159"/>
        <item x="135"/>
        <item x="79"/>
        <item x="66"/>
        <item x="8"/>
        <item x="89"/>
        <item x="150"/>
        <item x="134"/>
        <item x="133"/>
        <item x="132"/>
        <item x="114"/>
        <item x="4"/>
        <item x="118"/>
        <item x="83"/>
        <item x="88"/>
        <item x="31"/>
        <item x="3"/>
        <item x="107"/>
        <item x="112"/>
        <item x="113"/>
        <item x="121"/>
        <item x="95"/>
        <item x="53"/>
        <item x="2"/>
        <item x="131"/>
        <item x="101"/>
        <item x="120"/>
        <item x="17"/>
        <item x="111"/>
        <item x="142"/>
        <item x="149"/>
        <item x="1"/>
        <item x="122"/>
        <item x="0"/>
        <item x="143"/>
        <item x="144"/>
        <item x="110"/>
        <item x="105"/>
        <item x="21"/>
        <item x="48"/>
        <item x="130"/>
        <item x="10"/>
        <item x="151"/>
        <item x="39"/>
        <item x="47"/>
        <item x="20"/>
        <item x="127"/>
        <item x="11"/>
        <item x="26"/>
        <item x="139"/>
        <item x="30"/>
        <item x="12"/>
        <item x="158"/>
        <item x="128"/>
        <item x="103"/>
        <item x="117"/>
        <item x="145"/>
        <item x="157"/>
        <item x="46"/>
        <item x="65"/>
        <item x="45"/>
        <item x="123"/>
        <item x="18"/>
        <item x="25"/>
        <item x="7"/>
        <item x="44"/>
        <item x="61"/>
        <item x="102"/>
        <item x="43"/>
        <item x="13"/>
        <item x="32"/>
        <item x="175"/>
        <item x="64"/>
        <item x="129"/>
        <item x="52"/>
        <item x="16"/>
        <item x="24"/>
        <item x="42"/>
        <item x="82"/>
        <item x="171"/>
        <item x="174"/>
        <item x="163"/>
        <item x="33"/>
        <item x="156"/>
        <item x="23"/>
        <item x="148"/>
        <item x="62"/>
        <item x="155"/>
        <item x="154"/>
        <item x="34"/>
        <item x="19"/>
        <item x="22"/>
        <item x="40"/>
        <item x="29"/>
        <item x="125"/>
        <item x="124"/>
        <item x="38"/>
        <item x="35"/>
        <item x="172"/>
        <item x="54"/>
        <item x="162"/>
        <item x="63"/>
        <item x="126"/>
        <item x="104"/>
        <item x="41"/>
        <item x="147"/>
        <item x="15"/>
        <item x="146"/>
        <item x="14"/>
        <item x="55"/>
        <item x="51"/>
        <item x="56"/>
        <item x="60"/>
        <item x="57"/>
        <item x="164"/>
        <item x="173"/>
        <item x="37"/>
        <item x="36"/>
        <item x="170"/>
        <item x="161"/>
        <item x="167"/>
        <item x="165"/>
        <item x="166"/>
        <item x="59"/>
        <item x="58"/>
        <item x="169"/>
        <item x="168"/>
        <item t="default"/>
      </items>
    </pivotField>
    <pivotField compact="0" numFmtId="173" showAll="0">
      <items count="75">
        <item x="57"/>
        <item x="2"/>
        <item x="49"/>
        <item x="56"/>
        <item x="21"/>
        <item x="39"/>
        <item x="67"/>
        <item x="30"/>
        <item x="7"/>
        <item x="12"/>
        <item x="1"/>
        <item x="17"/>
        <item x="48"/>
        <item x="62"/>
        <item x="54"/>
        <item x="20"/>
        <item x="0"/>
        <item x="26"/>
        <item x="34"/>
        <item x="38"/>
        <item x="47"/>
        <item x="66"/>
        <item x="29"/>
        <item x="6"/>
        <item x="63"/>
        <item x="44"/>
        <item x="11"/>
        <item x="8"/>
        <item x="35"/>
        <item x="27"/>
        <item x="16"/>
        <item x="55"/>
        <item x="19"/>
        <item x="61"/>
        <item x="45"/>
        <item x="37"/>
        <item x="50"/>
        <item x="65"/>
        <item x="28"/>
        <item x="64"/>
        <item x="53"/>
        <item x="9"/>
        <item x="36"/>
        <item x="3"/>
        <item x="18"/>
        <item x="10"/>
        <item x="46"/>
        <item x="25"/>
        <item x="13"/>
        <item x="51"/>
        <item x="58"/>
        <item x="72"/>
        <item x="71"/>
        <item x="4"/>
        <item x="43"/>
        <item x="52"/>
        <item x="40"/>
        <item x="31"/>
        <item x="14"/>
        <item x="59"/>
        <item x="73"/>
        <item x="5"/>
        <item x="22"/>
        <item x="15"/>
        <item x="41"/>
        <item x="32"/>
        <item x="60"/>
        <item x="68"/>
        <item x="23"/>
        <item x="42"/>
        <item x="33"/>
        <item x="69"/>
        <item x="24"/>
        <item x="70"/>
        <item t="default"/>
      </items>
    </pivotField>
    <pivotField compact="0" numFmtId="173" showAll="0">
      <items count="177">
        <item x="137"/>
        <item x="138"/>
        <item x="17"/>
        <item x="39"/>
        <item x="5"/>
        <item x="6"/>
        <item x="115"/>
        <item x="135"/>
        <item x="136"/>
        <item x="116"/>
        <item x="49"/>
        <item x="127"/>
        <item x="3"/>
        <item x="159"/>
        <item x="149"/>
        <item x="160"/>
        <item x="50"/>
        <item x="61"/>
        <item x="113"/>
        <item x="4"/>
        <item x="171"/>
        <item x="132"/>
        <item x="133"/>
        <item x="134"/>
        <item x="16"/>
        <item x="114"/>
        <item x="38"/>
        <item x="27"/>
        <item x="47"/>
        <item x="157"/>
        <item x="128"/>
        <item x="40"/>
        <item x="28"/>
        <item x="48"/>
        <item x="158"/>
        <item x="62"/>
        <item x="93"/>
        <item x="0"/>
        <item x="1"/>
        <item x="130"/>
        <item x="2"/>
        <item x="42"/>
        <item x="110"/>
        <item x="25"/>
        <item x="71"/>
        <item x="94"/>
        <item x="111"/>
        <item x="64"/>
        <item x="131"/>
        <item x="148"/>
        <item x="126"/>
        <item x="18"/>
        <item x="129"/>
        <item x="112"/>
        <item x="43"/>
        <item x="60"/>
        <item x="26"/>
        <item x="83"/>
        <item x="41"/>
        <item x="65"/>
        <item x="63"/>
        <item x="170"/>
        <item x="154"/>
        <item x="72"/>
        <item x="20"/>
        <item x="155"/>
        <item x="44"/>
        <item x="156"/>
        <item x="105"/>
        <item x="45"/>
        <item x="46"/>
        <item x="21"/>
        <item x="91"/>
        <item x="19"/>
        <item x="123"/>
        <item x="150"/>
        <item x="117"/>
        <item x="92"/>
        <item x="22"/>
        <item x="152"/>
        <item x="69"/>
        <item x="23"/>
        <item x="35"/>
        <item x="13"/>
        <item x="153"/>
        <item x="24"/>
        <item x="151"/>
        <item x="29"/>
        <item x="7"/>
        <item x="120"/>
        <item x="172"/>
        <item x="88"/>
        <item x="70"/>
        <item x="118"/>
        <item x="82"/>
        <item x="89"/>
        <item x="10"/>
        <item x="84"/>
        <item x="32"/>
        <item x="106"/>
        <item x="174"/>
        <item x="66"/>
        <item x="90"/>
        <item x="104"/>
        <item x="86"/>
        <item x="173"/>
        <item x="175"/>
        <item x="108"/>
        <item x="67"/>
        <item x="30"/>
        <item x="119"/>
        <item x="145"/>
        <item x="87"/>
        <item x="8"/>
        <item x="85"/>
        <item x="139"/>
        <item x="109"/>
        <item x="107"/>
        <item x="122"/>
        <item x="68"/>
        <item x="124"/>
        <item x="125"/>
        <item x="121"/>
        <item x="9"/>
        <item x="142"/>
        <item x="31"/>
        <item x="57"/>
        <item x="14"/>
        <item x="12"/>
        <item x="51"/>
        <item x="15"/>
        <item x="11"/>
        <item x="34"/>
        <item x="36"/>
        <item x="37"/>
        <item x="33"/>
        <item x="167"/>
        <item x="161"/>
        <item x="54"/>
        <item x="140"/>
        <item x="101"/>
        <item x="95"/>
        <item x="141"/>
        <item x="164"/>
        <item x="52"/>
        <item x="146"/>
        <item x="144"/>
        <item x="143"/>
        <item x="147"/>
        <item x="79"/>
        <item x="73"/>
        <item x="162"/>
        <item x="53"/>
        <item x="98"/>
        <item x="56"/>
        <item x="163"/>
        <item x="55"/>
        <item x="58"/>
        <item x="59"/>
        <item x="76"/>
        <item x="168"/>
        <item x="169"/>
        <item x="166"/>
        <item x="165"/>
        <item x="96"/>
        <item x="97"/>
        <item x="74"/>
        <item x="102"/>
        <item x="103"/>
        <item x="75"/>
        <item x="100"/>
        <item x="99"/>
        <item x="80"/>
        <item x="81"/>
        <item x="78"/>
        <item x="77"/>
        <item t="default"/>
      </items>
    </pivotField>
    <pivotField dataField="1" compact="0" numFmtId="173" showAll="0">
      <items count="8">
        <item x="5"/>
        <item x="3"/>
        <item x="4"/>
        <item x="0"/>
        <item x="1"/>
        <item x="2"/>
        <item x="6"/>
        <item t="default"/>
      </items>
    </pivotField>
    <pivotField dataField="1" compact="0" numFmtId="173" showAll="0">
      <items count="48">
        <item x="40"/>
        <item x="26"/>
        <item x="33"/>
        <item x="5"/>
        <item x="12"/>
        <item x="19"/>
        <item x="46"/>
        <item x="36"/>
        <item x="22"/>
        <item x="29"/>
        <item x="1"/>
        <item x="8"/>
        <item x="15"/>
        <item x="41"/>
        <item x="27"/>
        <item x="42"/>
        <item x="34"/>
        <item x="6"/>
        <item x="13"/>
        <item x="37"/>
        <item x="20"/>
        <item x="23"/>
        <item x="30"/>
        <item x="2"/>
        <item x="9"/>
        <item x="16"/>
        <item x="35"/>
        <item x="21"/>
        <item x="43"/>
        <item x="28"/>
        <item x="0"/>
        <item x="7"/>
        <item x="38"/>
        <item x="14"/>
        <item x="24"/>
        <item x="31"/>
        <item x="3"/>
        <item x="10"/>
        <item x="17"/>
        <item x="39"/>
        <item x="25"/>
        <item x="44"/>
        <item x="32"/>
        <item x="4"/>
        <item x="11"/>
        <item x="18"/>
        <item x="45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из Labour cost, $" fld="22" subtotal="average" baseField="0" baseItem="0"/>
    <dataField name="Среднее из Labor costs per avg order" fld="2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colGrandTotals="0" createdVersion="6" indent="0" outline="1" outlineData="1" multipleFieldFilters="0" chartFormat="3">
  <location ref="G17:K27" firstHeaderRow="1" firstDataRow="2" firstDataCol="1"/>
  <pivotFields count="23">
    <pivotField axis="axisRow" showAll="0">
      <items count="9">
        <item x="6"/>
        <item x="1"/>
        <item x="2"/>
        <item x="0"/>
        <item x="5"/>
        <item x="3"/>
        <item x="4"/>
        <item x="7"/>
        <item t="default"/>
      </items>
    </pivotField>
    <pivotField showAll="0"/>
    <pivotField axis="axisCol" showAll="0">
      <items count="5">
        <item x="0"/>
        <item x="3"/>
        <item x="2"/>
        <item x="1"/>
        <item t="default"/>
      </items>
    </pivotField>
    <pivotField showAll="0">
      <items count="27">
        <item x="7"/>
        <item x="8"/>
        <item x="9"/>
        <item x="10"/>
        <item x="11"/>
        <item x="12"/>
        <item x="17"/>
        <item x="18"/>
        <item x="19"/>
        <item x="20"/>
        <item x="21"/>
        <item x="22"/>
        <item x="23"/>
        <item x="15"/>
        <item x="16"/>
        <item x="14"/>
        <item x="24"/>
        <item x="25"/>
        <item x="5"/>
        <item x="6"/>
        <item x="0"/>
        <item x="1"/>
        <item x="2"/>
        <item x="3"/>
        <item x="4"/>
        <item x="13"/>
        <item t="default"/>
      </items>
    </pivotField>
    <pivotField numFmtId="165" showAll="0"/>
    <pivotField numFmtId="165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1" showAll="0"/>
    <pivotField numFmtId="2" showAll="0"/>
    <pivotField numFmtId="2" showAll="0"/>
    <pivotField numFmtId="173" showAll="0"/>
    <pivotField numFmtId="9" showAll="0" defaultSubtotal="0"/>
    <pivotField numFmtId="9" showAll="0"/>
    <pivotField dataField="1" numFmtId="173" showAll="0"/>
    <pivotField numFmtId="173" showAll="0" defaultSubtotal="0"/>
    <pivotField numFmtId="173" showAll="0" defaultSubtotal="0"/>
    <pivotField dragToRow="0" dragToCol="0" dragToPag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Среднее по полю Order * Profit" fld="19" subtotal="average" baseField="0" baseItem="4" numFmtId="2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createdVersion="7" indent="0" outline="1" outlineData="1" multipleFieldFilters="0">
  <location ref="A3:D12" firstHeaderRow="0" firstDataRow="1" firstDataCol="1" rowPageCount="1" colPageCount="1"/>
  <pivotFields count="23">
    <pivotField axis="axisRow" showAll="0" sortType="descending">
      <items count="9">
        <item x="6"/>
        <item x="1"/>
        <item x="2"/>
        <item x="0"/>
        <item x="5"/>
        <item x="3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axis="axisPage" showAll="0">
      <items count="5">
        <item x="0"/>
        <item x="3"/>
        <item x="2"/>
        <item x="1"/>
        <item t="default"/>
      </items>
    </pivotField>
    <pivotField showAll="0"/>
    <pivotField dataField="1" numFmtId="165" showAll="0"/>
    <pivotField dataField="1" numFmtId="165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1" showAll="0"/>
    <pivotField numFmtId="2" showAll="0"/>
    <pivotField numFmtId="2" showAll="0"/>
    <pivotField dataField="1" numFmtId="173" showAll="0"/>
    <pivotField numFmtId="9" showAll="0" defaultSubtotal="0"/>
    <pivotField numFmtId="9" showAll="0"/>
    <pivotField numFmtId="173" showAll="0"/>
    <pivotField numFmtId="173" showAll="0" defaultSubtotal="0"/>
    <pivotField numFmtId="173" showAll="0" defaultSubtotal="0"/>
    <pivotField dragToRow="0" dragToCol="0" dragToPage="0" showAll="0" defaultSubtotal="0"/>
  </pivotFields>
  <rowFields count="1">
    <field x="0"/>
  </rowFields>
  <rowItems count="9">
    <i>
      <x v="7"/>
    </i>
    <i>
      <x v="2"/>
    </i>
    <i>
      <x v="1"/>
    </i>
    <i>
      <x v="3"/>
    </i>
    <i>
      <x v="4"/>
    </i>
    <i>
      <x/>
    </i>
    <i>
      <x v="6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0"/>
  </pageFields>
  <dataFields count="3">
    <dataField name="Среднее по полю Price" fld="4" subtotal="average" baseField="0" baseItem="0"/>
    <dataField name="Среднее по полю Cost(with labour)" fld="5" subtotal="average" baseField="0" baseItem="0"/>
    <dataField name="Среднее по полю Profit" fld="16" subtotal="average" baseField="0" baseItem="0"/>
  </dataFields>
  <formats count="2">
    <format dxfId="2">
      <pivotArea collapsedLevelsAreSubtotals="1" fieldPosition="0">
        <references count="1">
          <reference field="0" count="0"/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Сводная таблица4" cacheId="0" applyNumberFormats="0" applyBorderFormats="0" applyFontFormats="0" applyPatternFormats="0" applyAlignmentFormats="0" applyWidthHeightFormats="1" dataCaption="Значения" updatedVersion="6" minRefreshableVersion="3" useAutoFormatting="1" createdVersion="7" indent="0" outline="1" outlineData="1" multipleFieldFilters="0" chartFormat="1">
  <location ref="G3:H12" firstHeaderRow="1" firstDataRow="1" firstDataCol="1"/>
  <pivotFields count="23">
    <pivotField axis="axisRow" showAll="0">
      <items count="9">
        <item x="6"/>
        <item x="1"/>
        <item x="2"/>
        <item x="0"/>
        <item x="5"/>
        <item x="3"/>
        <item x="4"/>
        <item x="7"/>
        <item t="default"/>
      </items>
    </pivotField>
    <pivotField showAll="0"/>
    <pivotField showAll="0"/>
    <pivotField showAll="0"/>
    <pivotField numFmtId="165" showAll="0"/>
    <pivotField numFmtId="165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1" showAll="0"/>
    <pivotField numFmtId="2" showAll="0"/>
    <pivotField numFmtId="2" showAll="0"/>
    <pivotField numFmtId="173" showAll="0"/>
    <pivotField numFmtId="9" showAll="0" defaultSubtotal="0"/>
    <pivotField numFmtId="9" showAll="0"/>
    <pivotField numFmtId="173" showAll="0"/>
    <pivotField numFmtId="173" showAll="0" defaultSubtotal="0"/>
    <pivotField numFmtId="173" showAll="0" defaultSubtotal="0"/>
    <pivotField dataField="1" dragToRow="0" dragToCol="0" dragToPag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Среднее по полю Gross profit margin" fld="22" subtotal="average" baseField="0" baseItem="0" numFmtId="9"/>
  </dataFields>
  <formats count="5">
    <format dxfId="7">
      <pivotArea collapsedLevelsAreSubtotals="1" fieldPosition="0">
        <references count="1">
          <reference field="0" count="0"/>
        </references>
      </pivotArea>
    </format>
    <format dxfId="6">
      <pivotArea grandRow="1"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Сводная таблица7" cacheId="0" applyNumberFormats="0" applyBorderFormats="0" applyFontFormats="0" applyPatternFormats="0" applyAlignmentFormats="0" applyWidthHeightFormats="1" dataCaption="Значения" updatedVersion="6" minRefreshableVersion="3" useAutoFormatting="1" colGrandTotals="0" createdVersion="6" indent="0" outline="1" outlineData="1" multipleFieldFilters="0">
  <location ref="G52:K62" firstHeaderRow="1" firstDataRow="2" firstDataCol="1"/>
  <pivotFields count="23">
    <pivotField axis="axisRow" showAll="0">
      <items count="9">
        <item x="6"/>
        <item x="1"/>
        <item x="2"/>
        <item x="0"/>
        <item x="5"/>
        <item x="3"/>
        <item x="4"/>
        <item x="7"/>
        <item t="default"/>
      </items>
    </pivotField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numFmtId="165" showAll="0"/>
    <pivotField numFmtId="165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1" showAll="0"/>
    <pivotField numFmtId="2" showAll="0"/>
    <pivotField numFmtId="2" showAll="0"/>
    <pivotField numFmtId="173" showAll="0"/>
    <pivotField numFmtId="9" showAll="0"/>
    <pivotField numFmtId="9" showAll="0"/>
    <pivotField numFmtId="173" showAll="0"/>
    <pivotField numFmtId="173" showAll="0" defaultSubtotal="0"/>
    <pivotField dataField="1" numFmtId="173" showAll="0" defaultSubtotal="0"/>
    <pivotField dragToRow="0" dragToCol="0" dragToPag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Среднее по полю Costs per Average Order" fld="21" subtotal="average" baseField="0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createdVersion="7" indent="0" outline="1" outlineData="1" multipleFieldFilters="0">
  <location ref="A18:C91" firstHeaderRow="0" firstDataRow="1" firstDataCol="1"/>
  <pivotFields count="23">
    <pivotField axis="axisRow" showAll="0" sortType="descending">
      <items count="9">
        <item x="6"/>
        <item x="1"/>
        <item x="2"/>
        <item x="0"/>
        <item x="5"/>
        <item x="3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27">
        <item x="7"/>
        <item x="8"/>
        <item x="9"/>
        <item x="10"/>
        <item x="11"/>
        <item x="12"/>
        <item h="1" x="17"/>
        <item h="1" x="18"/>
        <item h="1" x="19"/>
        <item h="1" x="20"/>
        <item h="1" x="21"/>
        <item h="1" x="22"/>
        <item h="1" x="23"/>
        <item h="1" x="15"/>
        <item h="1" x="16"/>
        <item x="14"/>
        <item h="1" x="24"/>
        <item h="1" x="25"/>
        <item h="1" x="5"/>
        <item h="1" x="6"/>
        <item h="1" x="0"/>
        <item h="1" x="1"/>
        <item h="1" x="2"/>
        <item h="1" x="3"/>
        <item h="1" x="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1" showAll="0"/>
    <pivotField numFmtId="2" showAll="0"/>
    <pivotField numFmtId="2" showAll="0"/>
    <pivotField numFmtId="173" showAll="0"/>
    <pivotField numFmtId="9" showAll="0" defaultSubtotal="0"/>
    <pivotField numFmtId="9" showAll="0"/>
    <pivotField dataField="1" numFmtId="173" showAll="0"/>
    <pivotField numFmtId="173" showAll="0" defaultSubtotal="0"/>
    <pivotField numFmtId="173" showAll="0" defaultSubtotal="0"/>
    <pivotField dragToRow="0" dragToCol="0" dragToPage="0" showAll="0" defaultSubtotal="0"/>
  </pivotFields>
  <rowFields count="2">
    <field x="3"/>
    <field x="0"/>
  </rowFields>
  <rowItems count="73">
    <i>
      <x v="15"/>
    </i>
    <i r="1">
      <x v="7"/>
    </i>
    <i r="1">
      <x v="2"/>
    </i>
    <i r="1">
      <x v="1"/>
    </i>
    <i r="1">
      <x v="3"/>
    </i>
    <i r="1">
      <x v="4"/>
    </i>
    <i r="1">
      <x/>
    </i>
    <i r="1">
      <x v="6"/>
    </i>
    <i r="1">
      <x v="5"/>
    </i>
    <i>
      <x v="25"/>
    </i>
    <i r="1">
      <x v="7"/>
    </i>
    <i r="1">
      <x v="2"/>
    </i>
    <i r="1">
      <x v="1"/>
    </i>
    <i r="1">
      <x v="3"/>
    </i>
    <i r="1">
      <x v="4"/>
    </i>
    <i r="1">
      <x/>
    </i>
    <i r="1">
      <x v="6"/>
    </i>
    <i r="1">
      <x v="5"/>
    </i>
    <i>
      <x/>
    </i>
    <i r="1">
      <x v="7"/>
    </i>
    <i r="1">
      <x v="2"/>
    </i>
    <i r="1">
      <x v="1"/>
    </i>
    <i r="1">
      <x v="3"/>
    </i>
    <i r="1">
      <x v="4"/>
    </i>
    <i r="1">
      <x/>
    </i>
    <i r="1">
      <x v="6"/>
    </i>
    <i r="1">
      <x v="5"/>
    </i>
    <i>
      <x v="5"/>
    </i>
    <i r="1">
      <x v="7"/>
    </i>
    <i r="1">
      <x v="2"/>
    </i>
    <i r="1">
      <x v="1"/>
    </i>
    <i r="1">
      <x v="3"/>
    </i>
    <i r="1">
      <x/>
    </i>
    <i r="1">
      <x v="4"/>
    </i>
    <i r="1">
      <x v="6"/>
    </i>
    <i r="1">
      <x v="5"/>
    </i>
    <i>
      <x v="3"/>
    </i>
    <i r="1">
      <x v="7"/>
    </i>
    <i r="1">
      <x v="2"/>
    </i>
    <i r="1">
      <x v="1"/>
    </i>
    <i r="1">
      <x v="3"/>
    </i>
    <i r="1">
      <x/>
    </i>
    <i r="1">
      <x v="4"/>
    </i>
    <i r="1">
      <x v="6"/>
    </i>
    <i r="1">
      <x v="5"/>
    </i>
    <i>
      <x v="4"/>
    </i>
    <i r="1">
      <x v="7"/>
    </i>
    <i r="1">
      <x v="2"/>
    </i>
    <i r="1">
      <x v="1"/>
    </i>
    <i r="1">
      <x v="3"/>
    </i>
    <i r="1">
      <x/>
    </i>
    <i r="1">
      <x v="4"/>
    </i>
    <i r="1">
      <x v="6"/>
    </i>
    <i r="1">
      <x v="5"/>
    </i>
    <i>
      <x v="1"/>
    </i>
    <i r="1">
      <x v="7"/>
    </i>
    <i r="1">
      <x v="2"/>
    </i>
    <i r="1">
      <x v="1"/>
    </i>
    <i r="1">
      <x v="4"/>
    </i>
    <i r="1">
      <x v="3"/>
    </i>
    <i r="1">
      <x/>
    </i>
    <i r="1">
      <x v="6"/>
    </i>
    <i r="1">
      <x v="5"/>
    </i>
    <i>
      <x v="2"/>
    </i>
    <i r="1">
      <x v="7"/>
    </i>
    <i r="1">
      <x v="2"/>
    </i>
    <i r="1">
      <x v="1"/>
    </i>
    <i r="1">
      <x v="3"/>
    </i>
    <i r="1">
      <x v="4"/>
    </i>
    <i r="1">
      <x/>
    </i>
    <i r="1">
      <x v="6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Order * Profit" fld="19" baseField="0" baseItem="7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Сумма по полю Order * Profit2" fld="19" baseField="0" baseItem="7" numFmtId="2"/>
  </dataFields>
  <formats count="4">
    <format dxfId="11">
      <pivotArea outline="0" collapsedLevelsAreSubtotals="1" fieldPosition="0"/>
    </format>
    <format dxfId="10">
      <pivotArea collapsedLevelsAreSubtotals="1" fieldPosition="0">
        <references count="1">
          <reference field="3" count="1">
            <x v="15"/>
          </reference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Сводная таблица6" cacheId="0" applyNumberFormats="0" applyBorderFormats="0" applyFontFormats="0" applyPatternFormats="0" applyAlignmentFormats="0" applyWidthHeightFormats="1" dataCaption="Значения" updatedVersion="6" minRefreshableVersion="3" useAutoFormatting="1" createdVersion="6" indent="0" outline="1" outlineData="1" multipleFieldFilters="0" chartFormat="2">
  <location ref="G33:L43" firstHeaderRow="1" firstDataRow="2" firstDataCol="1"/>
  <pivotFields count="23">
    <pivotField axis="axisRow" showAll="0">
      <items count="9">
        <item x="6"/>
        <item x="1"/>
        <item x="2"/>
        <item x="0"/>
        <item x="5"/>
        <item x="3"/>
        <item x="4"/>
        <item x="7"/>
        <item t="default"/>
      </items>
    </pivotField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numFmtId="165" showAll="0"/>
    <pivotField numFmtId="165" showAll="0"/>
    <pivotField showAll="0"/>
    <pivotField numFmtId="9" showAll="0"/>
    <pivotField numFmtId="9" showAll="0"/>
    <pivotField numFmtId="9" showAll="0"/>
    <pivotField numFmtId="9" showAll="0"/>
    <pivotField numFmtId="9" showAll="0"/>
    <pivotField numFmtId="9" showAll="0"/>
    <pivotField numFmtId="1" showAll="0"/>
    <pivotField numFmtId="2" showAll="0"/>
    <pivotField numFmtId="2" showAll="0"/>
    <pivotField dataField="1" numFmtId="173" showAll="0"/>
    <pivotField numFmtId="9" showAll="0" defaultSubtotal="0"/>
    <pivotField numFmtId="9" showAll="0"/>
    <pivotField numFmtId="173" showAll="0"/>
    <pivotField numFmtId="173" showAll="0" defaultSubtotal="0"/>
    <pivotField numFmtId="173" showAll="0" defaultSubtotal="0"/>
    <pivotField dragToRow="0" dragToCol="0" dragToPag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Среднее по полю Profit" fld="16" subtotal="average" baseField="0" baseItem="0" numFmtId="171"/>
  </dataFields>
  <formats count="1">
    <format dxfId="12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3:X211" totalsRowShown="0">
  <autoFilter ref="A3:X211" xr:uid="{00000000-0009-0000-0100-000001000000}"/>
  <tableColumns count="24">
    <tableColumn id="1" xr3:uid="{00000000-0010-0000-0000-000001000000}" name="City" dataDxfId="36"/>
    <tableColumn id="2" xr3:uid="{00000000-0010-0000-0000-000002000000}" name="ID" dataDxfId="35">
      <calculatedColumnFormula>B3+1</calculatedColumnFormula>
    </tableColumn>
    <tableColumn id="3" xr3:uid="{00000000-0010-0000-0000-000003000000}" name="Category" dataDxfId="34"/>
    <tableColumn id="4" xr3:uid="{00000000-0010-0000-0000-000004000000}" name="Product" dataDxfId="33"/>
    <tableColumn id="5" xr3:uid="{00000000-0010-0000-0000-000005000000}" name="Price" dataDxfId="32">
      <calculatedColumnFormula>VLOOKUP('Menu and cost - USA by city'!D4,'Menu and cost - Russia'!$D$4:$P$29,2,FALSE)*(VLOOKUP('Menu and cost - USA by city'!A4,COGS!$B$3:$I$10,8,FALSE)/3)*0.4</calculatedColumnFormula>
    </tableColumn>
    <tableColumn id="6" xr3:uid="{00000000-0010-0000-0000-000006000000}" name="Cost(with labour)" dataDxfId="31">
      <calculatedColumnFormula>SUMPRODUCT(H4:L4,'Mean order price'!$C$10:$G$10)*G4+P4*'Mean order price'!$H$10</calculatedColumnFormula>
    </tableColumn>
    <tableColumn id="7" xr3:uid="{00000000-0010-0000-0000-000007000000}" name="Weight" dataDxfId="30"/>
    <tableColumn id="8" xr3:uid="{00000000-0010-0000-0000-000008000000}" name="Dairy Products" dataDxfId="29"/>
    <tableColumn id="9" xr3:uid="{00000000-0010-0000-0000-000009000000}" name="Meat / Seafood" dataDxfId="28"/>
    <tableColumn id="10" xr3:uid="{00000000-0010-0000-0000-00000A000000}" name="Fruits / Veggie" dataDxfId="27"/>
    <tableColumn id="11" xr3:uid="{00000000-0010-0000-0000-00000B000000}" name="Beverages" dataDxfId="26"/>
    <tableColumn id="12" xr3:uid="{00000000-0010-0000-0000-00000C000000}" name="Pantry" dataDxfId="25"/>
    <tableColumn id="13" xr3:uid="{00000000-0010-0000-0000-00000D000000}" name="Total" dataDxfId="24">
      <calculatedColumnFormula>SUM(H4:L4)</calculatedColumnFormula>
    </tableColumn>
    <tableColumn id="14" xr3:uid="{00000000-0010-0000-0000-00000E000000}" name="Portions/hour" dataDxfId="23"/>
    <tableColumn id="15" xr3:uid="{00000000-0010-0000-0000-00000F000000}" name="Time - min" dataDxfId="22">
      <calculatedColumnFormula>60/N4</calculatedColumnFormula>
    </tableColumn>
    <tableColumn id="16" xr3:uid="{00000000-0010-0000-0000-000010000000}" name="Time - hrs" dataDxfId="21">
      <calculatedColumnFormula>O4/60</calculatedColumnFormula>
    </tableColumn>
    <tableColumn id="17" xr3:uid="{00000000-0010-0000-0000-000011000000}" name="Profit" dataDxfId="20">
      <calculatedColumnFormula>E4-F4</calculatedColumnFormula>
    </tableColumn>
    <tableColumn id="22" xr3:uid="{00000000-0010-0000-0000-000016000000}" name="Gross profit" dataDxfId="19">
      <calculatedColumnFormula>Таблица1[[#This Row],[Profit]]/Таблица1[[#This Row],[Price]]</calculatedColumnFormula>
    </tableColumn>
    <tableColumn id="18" xr3:uid="{00000000-0010-0000-0000-000012000000}" name="Order" dataDxfId="18">
      <calculatedColumnFormula>VLOOKUP($A4,'Order Composition'!$B$2:$F$10,MATCH($C4,'Order Composition'!$B$2:$F$2,0),0)</calculatedColumnFormula>
    </tableColumn>
    <tableColumn id="19" xr3:uid="{00000000-0010-0000-0000-000013000000}" name="Order * Profit" dataDxfId="17">
      <calculatedColumnFormula>S4*Q4</calculatedColumnFormula>
    </tableColumn>
    <tableColumn id="23" xr3:uid="{00000000-0010-0000-0000-000017000000}" name="Gross Profit per Average Order" dataDxfId="16">
      <calculatedColumnFormula>Таблица1[[#This Row],[Price]]*Таблица1[[#This Row],[Order]]</calculatedColumnFormula>
    </tableColumn>
    <tableColumn id="24" xr3:uid="{00000000-0010-0000-0000-000018000000}" name="Costs (with labor) per Average Order" dataDxfId="15">
      <calculatedColumnFormula>Таблица1[[#This Row],[Cost(with labour)]]*Таблица1[[#This Row],[Order]]</calculatedColumnFormula>
    </tableColumn>
    <tableColumn id="21" xr3:uid="{00000000-0010-0000-0000-000015000000}" name="Labour cost, $" dataDxfId="14">
      <calculatedColumnFormula>VLOOKUP($A4,'Mean order price'!$B$2:$H$10,7,0)</calculatedColumnFormula>
    </tableColumn>
    <tableColumn id="20" xr3:uid="{00000000-0010-0000-0000-000014000000}" name="Labor costs per avg order" dataDxfId="13">
      <calculatedColumnFormula>W4*P4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"/>
  <sheetViews>
    <sheetView workbookViewId="0"/>
  </sheetViews>
  <sheetFormatPr defaultColWidth="10.875" defaultRowHeight="15.75"/>
  <cols>
    <col min="1" max="16384" width="10.875" style="53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B1:R54"/>
  <sheetViews>
    <sheetView zoomScale="80" zoomScaleNormal="80" workbookViewId="0">
      <selection activeCell="D46" sqref="D46"/>
    </sheetView>
  </sheetViews>
  <sheetFormatPr defaultColWidth="10.875" defaultRowHeight="15.75"/>
  <cols>
    <col min="1" max="1" width="10.875" style="53"/>
    <col min="2" max="2" width="3.125" style="54" customWidth="1"/>
    <col min="3" max="3" width="10.875" style="53"/>
    <col min="4" max="4" width="12.125" style="53" customWidth="1"/>
    <col min="5" max="7" width="10.875" style="53"/>
    <col min="8" max="15" width="13.875" style="53" customWidth="1"/>
    <col min="16" max="16" width="13.375" style="53" customWidth="1"/>
    <col min="17" max="17" width="10.875" style="53"/>
    <col min="18" max="18" width="19.125" style="53" customWidth="1"/>
    <col min="19" max="22" width="10.875" style="53" customWidth="1"/>
    <col min="23" max="16384" width="10.875" style="53"/>
  </cols>
  <sheetData>
    <row r="1" spans="2:18">
      <c r="H1" s="92" t="s">
        <v>0</v>
      </c>
      <c r="I1" s="92"/>
      <c r="J1" s="92"/>
      <c r="K1" s="92"/>
      <c r="L1" s="92"/>
      <c r="P1" s="85" t="s">
        <v>1</v>
      </c>
    </row>
    <row r="2" spans="2:18">
      <c r="G2" s="56"/>
      <c r="H2" s="89">
        <v>4</v>
      </c>
      <c r="I2" s="89">
        <v>6</v>
      </c>
      <c r="J2" s="89">
        <v>4</v>
      </c>
      <c r="K2" s="89">
        <v>2</v>
      </c>
      <c r="L2" s="89">
        <v>3</v>
      </c>
      <c r="M2" s="59"/>
      <c r="N2" s="59"/>
      <c r="O2" s="59"/>
      <c r="P2" s="90">
        <v>3</v>
      </c>
    </row>
    <row r="3" spans="2:18">
      <c r="B3" s="58" t="s">
        <v>2</v>
      </c>
      <c r="C3" s="57" t="s">
        <v>3</v>
      </c>
      <c r="D3" s="57" t="s">
        <v>4</v>
      </c>
      <c r="E3" s="57" t="s">
        <v>5</v>
      </c>
      <c r="F3" s="57" t="s">
        <v>6</v>
      </c>
      <c r="G3" s="57" t="s">
        <v>7</v>
      </c>
      <c r="H3" s="57" t="s">
        <v>8</v>
      </c>
      <c r="I3" s="57" t="s">
        <v>9</v>
      </c>
      <c r="J3" s="57" t="s">
        <v>10</v>
      </c>
      <c r="K3" s="57" t="s">
        <v>11</v>
      </c>
      <c r="L3" s="57" t="s">
        <v>12</v>
      </c>
      <c r="M3" s="57" t="s">
        <v>13</v>
      </c>
      <c r="N3" s="57" t="s">
        <v>14</v>
      </c>
      <c r="O3" s="57" t="s">
        <v>15</v>
      </c>
      <c r="P3" s="57" t="s">
        <v>16</v>
      </c>
      <c r="Q3" s="57" t="s">
        <v>17</v>
      </c>
      <c r="R3" s="57" t="s">
        <v>18</v>
      </c>
    </row>
    <row r="4" spans="2:18">
      <c r="B4" s="54">
        <v>1</v>
      </c>
      <c r="C4" s="53" t="s">
        <v>19</v>
      </c>
      <c r="D4" s="53" t="s">
        <v>20</v>
      </c>
      <c r="E4" s="59">
        <v>3</v>
      </c>
      <c r="F4" s="59">
        <f>SUMPRODUCT(H4:L4,H$2:L$2)*G4</f>
        <v>0.78</v>
      </c>
      <c r="G4" s="53">
        <v>0.2</v>
      </c>
      <c r="H4" s="60">
        <v>0</v>
      </c>
      <c r="I4" s="60">
        <v>0</v>
      </c>
      <c r="J4" s="60">
        <v>0.9</v>
      </c>
      <c r="K4" s="60">
        <v>0</v>
      </c>
      <c r="L4" s="60">
        <v>0.1</v>
      </c>
      <c r="M4" s="60">
        <f>SUM(H4:L4)</f>
        <v>1</v>
      </c>
      <c r="N4" s="61">
        <v>20</v>
      </c>
      <c r="O4" s="62">
        <f>60/N4</f>
        <v>3</v>
      </c>
      <c r="P4" s="62">
        <f>O4/60</f>
        <v>0.05</v>
      </c>
      <c r="Q4" s="91">
        <f t="shared" ref="Q4:Q29" si="0">E4-F4-P4*P$2</f>
        <v>2.0699999999999998</v>
      </c>
    </row>
    <row r="5" spans="2:18">
      <c r="B5" s="54">
        <f>B4+1</f>
        <v>2</v>
      </c>
      <c r="C5" s="53" t="s">
        <v>19</v>
      </c>
      <c r="D5" s="53" t="s">
        <v>21</v>
      </c>
      <c r="E5" s="59">
        <v>3</v>
      </c>
      <c r="F5" s="59">
        <f t="shared" ref="F5:F9" si="1">SUMPRODUCT(H5:L5,H$2:L$2)*G5</f>
        <v>0.86</v>
      </c>
      <c r="G5" s="53">
        <v>0.2</v>
      </c>
      <c r="H5" s="60">
        <v>0</v>
      </c>
      <c r="I5" s="60">
        <v>0.2</v>
      </c>
      <c r="J5" s="60">
        <v>0.7</v>
      </c>
      <c r="K5" s="60">
        <v>0</v>
      </c>
      <c r="L5" s="60">
        <v>0.1</v>
      </c>
      <c r="M5" s="60">
        <f t="shared" ref="M5:M29" si="2">SUM(H5:L5)</f>
        <v>1</v>
      </c>
      <c r="N5" s="61">
        <v>20</v>
      </c>
      <c r="O5" s="62">
        <f t="shared" ref="O5:O29" si="3">60/N5</f>
        <v>3</v>
      </c>
      <c r="P5" s="62">
        <f t="shared" ref="P5:P29" si="4">O5/60</f>
        <v>0.05</v>
      </c>
      <c r="Q5" s="91">
        <f t="shared" si="0"/>
        <v>1.99</v>
      </c>
    </row>
    <row r="6" spans="2:18">
      <c r="B6" s="54">
        <f t="shared" ref="B6:B29" si="5">B5+1</f>
        <v>3</v>
      </c>
      <c r="C6" s="53" t="s">
        <v>19</v>
      </c>
      <c r="D6" s="53" t="s">
        <v>22</v>
      </c>
      <c r="E6" s="59">
        <v>3</v>
      </c>
      <c r="F6" s="59">
        <f t="shared" si="1"/>
        <v>0.98</v>
      </c>
      <c r="G6" s="53">
        <v>0.2</v>
      </c>
      <c r="H6" s="60">
        <v>0</v>
      </c>
      <c r="I6" s="60">
        <v>0.5</v>
      </c>
      <c r="J6" s="60">
        <v>0.4</v>
      </c>
      <c r="K6" s="60">
        <v>0</v>
      </c>
      <c r="L6" s="60">
        <v>0.1</v>
      </c>
      <c r="M6" s="60">
        <f t="shared" si="2"/>
        <v>1</v>
      </c>
      <c r="N6" s="61">
        <v>20</v>
      </c>
      <c r="O6" s="62">
        <f t="shared" si="3"/>
        <v>3</v>
      </c>
      <c r="P6" s="62">
        <f t="shared" si="4"/>
        <v>0.05</v>
      </c>
      <c r="Q6" s="91">
        <f t="shared" si="0"/>
        <v>1.87</v>
      </c>
    </row>
    <row r="7" spans="2:18">
      <c r="B7" s="54">
        <f t="shared" si="5"/>
        <v>4</v>
      </c>
      <c r="C7" s="53" t="s">
        <v>19</v>
      </c>
      <c r="D7" s="53" t="s">
        <v>23</v>
      </c>
      <c r="E7" s="59">
        <v>2</v>
      </c>
      <c r="F7" s="59">
        <f t="shared" si="1"/>
        <v>0.68</v>
      </c>
      <c r="G7" s="53">
        <v>0.2</v>
      </c>
      <c r="H7" s="60">
        <v>0.1</v>
      </c>
      <c r="I7" s="60">
        <v>0</v>
      </c>
      <c r="J7" s="60">
        <v>0.4</v>
      </c>
      <c r="K7" s="60">
        <v>0.1</v>
      </c>
      <c r="L7" s="60">
        <v>0.4</v>
      </c>
      <c r="M7" s="60">
        <f t="shared" si="2"/>
        <v>1</v>
      </c>
      <c r="N7" s="61">
        <v>60</v>
      </c>
      <c r="O7" s="62">
        <f t="shared" si="3"/>
        <v>1</v>
      </c>
      <c r="P7" s="62">
        <f t="shared" si="4"/>
        <v>1.6666666666666701E-2</v>
      </c>
      <c r="Q7" s="91">
        <f t="shared" si="0"/>
        <v>1.27</v>
      </c>
    </row>
    <row r="8" spans="2:18">
      <c r="B8" s="54">
        <f t="shared" si="5"/>
        <v>5</v>
      </c>
      <c r="C8" s="53" t="s">
        <v>19</v>
      </c>
      <c r="D8" s="53" t="s">
        <v>24</v>
      </c>
      <c r="E8" s="59">
        <v>2</v>
      </c>
      <c r="F8" s="59">
        <f t="shared" si="1"/>
        <v>0.78</v>
      </c>
      <c r="G8" s="53">
        <v>0.2</v>
      </c>
      <c r="H8" s="60">
        <v>0.1</v>
      </c>
      <c r="I8" s="60">
        <v>0.2</v>
      </c>
      <c r="J8" s="60">
        <v>0.3</v>
      </c>
      <c r="K8" s="60">
        <v>0.1</v>
      </c>
      <c r="L8" s="60">
        <v>0.3</v>
      </c>
      <c r="M8" s="60">
        <f t="shared" si="2"/>
        <v>1</v>
      </c>
      <c r="N8" s="61">
        <v>60</v>
      </c>
      <c r="O8" s="62">
        <f t="shared" si="3"/>
        <v>1</v>
      </c>
      <c r="P8" s="62">
        <f t="shared" si="4"/>
        <v>1.6666666666666701E-2</v>
      </c>
      <c r="Q8" s="91">
        <f t="shared" si="0"/>
        <v>1.17</v>
      </c>
    </row>
    <row r="9" spans="2:18">
      <c r="B9" s="54">
        <f t="shared" si="5"/>
        <v>6</v>
      </c>
      <c r="C9" s="53" t="s">
        <v>19</v>
      </c>
      <c r="D9" s="53" t="s">
        <v>25</v>
      </c>
      <c r="E9" s="59">
        <v>1</v>
      </c>
      <c r="F9" s="59">
        <f t="shared" si="1"/>
        <v>0.38</v>
      </c>
      <c r="G9" s="53">
        <v>0.1</v>
      </c>
      <c r="H9" s="60">
        <v>0.1</v>
      </c>
      <c r="I9" s="60">
        <v>0</v>
      </c>
      <c r="J9" s="60">
        <v>0.75</v>
      </c>
      <c r="K9" s="60">
        <v>0.05</v>
      </c>
      <c r="L9" s="60">
        <v>0.1</v>
      </c>
      <c r="M9" s="60">
        <f t="shared" si="2"/>
        <v>1</v>
      </c>
      <c r="N9" s="61">
        <v>30</v>
      </c>
      <c r="O9" s="62">
        <f t="shared" si="3"/>
        <v>2</v>
      </c>
      <c r="P9" s="62">
        <f t="shared" si="4"/>
        <v>3.3333333333333298E-2</v>
      </c>
      <c r="Q9" s="91">
        <f t="shared" si="0"/>
        <v>0.52</v>
      </c>
    </row>
    <row r="10" spans="2:18">
      <c r="B10" s="54">
        <f t="shared" si="5"/>
        <v>7</v>
      </c>
      <c r="C10" s="53" t="s">
        <v>19</v>
      </c>
      <c r="D10" s="53" t="s">
        <v>26</v>
      </c>
      <c r="E10" s="59">
        <v>1</v>
      </c>
      <c r="F10" s="59">
        <f t="shared" ref="F10:F29" si="6">SUMPRODUCT(H10:L10,H$2:L$2)*G10</f>
        <v>0.48</v>
      </c>
      <c r="G10" s="53">
        <v>0.1</v>
      </c>
      <c r="H10" s="60">
        <v>0.1</v>
      </c>
      <c r="I10" s="60">
        <v>0.5</v>
      </c>
      <c r="J10" s="60">
        <v>0.25</v>
      </c>
      <c r="K10" s="60">
        <v>0.05</v>
      </c>
      <c r="L10" s="60">
        <v>0.1</v>
      </c>
      <c r="M10" s="60">
        <f t="shared" si="2"/>
        <v>1</v>
      </c>
      <c r="N10" s="61">
        <v>30</v>
      </c>
      <c r="O10" s="62">
        <f t="shared" si="3"/>
        <v>2</v>
      </c>
      <c r="P10" s="62">
        <f t="shared" si="4"/>
        <v>3.3333333333333298E-2</v>
      </c>
      <c r="Q10" s="91">
        <f t="shared" si="0"/>
        <v>0.42</v>
      </c>
    </row>
    <row r="11" spans="2:18">
      <c r="B11" s="54">
        <f t="shared" si="5"/>
        <v>8</v>
      </c>
      <c r="C11" s="53" t="s">
        <v>27</v>
      </c>
      <c r="D11" s="53" t="s">
        <v>28</v>
      </c>
      <c r="E11" s="59">
        <v>3</v>
      </c>
      <c r="F11" s="59">
        <f t="shared" si="6"/>
        <v>0.76</v>
      </c>
      <c r="G11" s="53">
        <v>0.2</v>
      </c>
      <c r="H11" s="60">
        <v>0.1</v>
      </c>
      <c r="I11" s="60">
        <v>0</v>
      </c>
      <c r="J11" s="60">
        <v>0.75</v>
      </c>
      <c r="K11" s="60">
        <v>0.05</v>
      </c>
      <c r="L11" s="60">
        <v>0.1</v>
      </c>
      <c r="M11" s="60">
        <f t="shared" si="2"/>
        <v>1</v>
      </c>
      <c r="N11" s="61">
        <v>15</v>
      </c>
      <c r="O11" s="62">
        <f t="shared" si="3"/>
        <v>4</v>
      </c>
      <c r="P11" s="62">
        <f t="shared" si="4"/>
        <v>6.6666666666666693E-2</v>
      </c>
      <c r="Q11" s="91">
        <f t="shared" si="0"/>
        <v>2.04</v>
      </c>
    </row>
    <row r="12" spans="2:18">
      <c r="B12" s="54">
        <f t="shared" si="5"/>
        <v>9</v>
      </c>
      <c r="C12" s="53" t="s">
        <v>27</v>
      </c>
      <c r="D12" s="53" t="s">
        <v>29</v>
      </c>
      <c r="E12" s="59">
        <v>3</v>
      </c>
      <c r="F12" s="59">
        <f t="shared" si="6"/>
        <v>1.1399999999999999</v>
      </c>
      <c r="G12" s="53">
        <v>0.3</v>
      </c>
      <c r="H12" s="60">
        <v>0.3</v>
      </c>
      <c r="I12" s="60">
        <v>0</v>
      </c>
      <c r="J12" s="60">
        <v>0.55000000000000004</v>
      </c>
      <c r="K12" s="60">
        <v>0.05</v>
      </c>
      <c r="L12" s="60">
        <v>0.1</v>
      </c>
      <c r="M12" s="60">
        <f t="shared" si="2"/>
        <v>1</v>
      </c>
      <c r="N12" s="61">
        <v>15</v>
      </c>
      <c r="O12" s="62">
        <f t="shared" si="3"/>
        <v>4</v>
      </c>
      <c r="P12" s="62">
        <f t="shared" si="4"/>
        <v>6.6666666666666693E-2</v>
      </c>
      <c r="Q12" s="91">
        <f t="shared" si="0"/>
        <v>1.66</v>
      </c>
    </row>
    <row r="13" spans="2:18">
      <c r="B13" s="54">
        <f t="shared" si="5"/>
        <v>10</v>
      </c>
      <c r="C13" s="53" t="s">
        <v>27</v>
      </c>
      <c r="D13" s="53" t="s">
        <v>30</v>
      </c>
      <c r="E13" s="59">
        <v>3</v>
      </c>
      <c r="F13" s="59">
        <f t="shared" si="6"/>
        <v>1.29</v>
      </c>
      <c r="G13" s="53">
        <v>0.3</v>
      </c>
      <c r="H13" s="60">
        <v>0.1</v>
      </c>
      <c r="I13" s="60">
        <v>0.25</v>
      </c>
      <c r="J13" s="60">
        <v>0.5</v>
      </c>
      <c r="K13" s="60">
        <v>0.05</v>
      </c>
      <c r="L13" s="60">
        <v>0.1</v>
      </c>
      <c r="M13" s="60">
        <f t="shared" si="2"/>
        <v>1</v>
      </c>
      <c r="N13" s="61">
        <v>15</v>
      </c>
      <c r="O13" s="62">
        <f t="shared" si="3"/>
        <v>4</v>
      </c>
      <c r="P13" s="62">
        <f t="shared" si="4"/>
        <v>6.6666666666666693E-2</v>
      </c>
      <c r="Q13" s="91">
        <f t="shared" si="0"/>
        <v>1.51</v>
      </c>
    </row>
    <row r="14" spans="2:18">
      <c r="B14" s="54">
        <f t="shared" si="5"/>
        <v>11</v>
      </c>
      <c r="C14" s="53" t="s">
        <v>27</v>
      </c>
      <c r="D14" s="53" t="s">
        <v>31</v>
      </c>
      <c r="E14" s="59">
        <v>3</v>
      </c>
      <c r="F14" s="59">
        <f t="shared" si="6"/>
        <v>0.92</v>
      </c>
      <c r="G14" s="53">
        <v>0.2</v>
      </c>
      <c r="H14" s="60">
        <v>0.2</v>
      </c>
      <c r="I14" s="60">
        <v>0.4</v>
      </c>
      <c r="J14" s="60">
        <v>0.25</v>
      </c>
      <c r="K14" s="60">
        <v>0.05</v>
      </c>
      <c r="L14" s="60">
        <v>0.1</v>
      </c>
      <c r="M14" s="60">
        <f t="shared" si="2"/>
        <v>1</v>
      </c>
      <c r="N14" s="61">
        <v>10</v>
      </c>
      <c r="O14" s="62">
        <f t="shared" si="3"/>
        <v>6</v>
      </c>
      <c r="P14" s="62">
        <f t="shared" si="4"/>
        <v>0.1</v>
      </c>
      <c r="Q14" s="91">
        <f t="shared" si="0"/>
        <v>1.78</v>
      </c>
    </row>
    <row r="15" spans="2:18">
      <c r="B15" s="54">
        <f t="shared" si="5"/>
        <v>12</v>
      </c>
      <c r="C15" s="53" t="s">
        <v>27</v>
      </c>
      <c r="D15" s="53" t="s">
        <v>32</v>
      </c>
      <c r="E15" s="59">
        <v>4</v>
      </c>
      <c r="F15" s="59">
        <f t="shared" si="6"/>
        <v>1.5</v>
      </c>
      <c r="G15" s="53">
        <v>0.3</v>
      </c>
      <c r="H15" s="60">
        <v>0.2</v>
      </c>
      <c r="I15" s="60">
        <v>0.6</v>
      </c>
      <c r="J15" s="60">
        <v>0.05</v>
      </c>
      <c r="K15" s="60">
        <v>0.05</v>
      </c>
      <c r="L15" s="60">
        <v>0.1</v>
      </c>
      <c r="M15" s="60">
        <f t="shared" si="2"/>
        <v>1</v>
      </c>
      <c r="N15" s="61">
        <v>10</v>
      </c>
      <c r="O15" s="62">
        <f t="shared" si="3"/>
        <v>6</v>
      </c>
      <c r="P15" s="62">
        <f t="shared" si="4"/>
        <v>0.1</v>
      </c>
      <c r="Q15" s="91">
        <f t="shared" si="0"/>
        <v>2.2000000000000002</v>
      </c>
    </row>
    <row r="16" spans="2:18">
      <c r="B16" s="54">
        <f t="shared" si="5"/>
        <v>13</v>
      </c>
      <c r="C16" s="53" t="s">
        <v>27</v>
      </c>
      <c r="D16" s="53" t="s">
        <v>33</v>
      </c>
      <c r="E16" s="59">
        <v>4</v>
      </c>
      <c r="F16" s="59">
        <f t="shared" si="6"/>
        <v>1.44</v>
      </c>
      <c r="G16" s="53">
        <v>0.3</v>
      </c>
      <c r="H16" s="60">
        <v>0.2</v>
      </c>
      <c r="I16" s="60">
        <v>0.5</v>
      </c>
      <c r="J16" s="60">
        <v>0.15</v>
      </c>
      <c r="K16" s="60">
        <v>0.05</v>
      </c>
      <c r="L16" s="60">
        <v>0.1</v>
      </c>
      <c r="M16" s="60">
        <f t="shared" si="2"/>
        <v>1</v>
      </c>
      <c r="N16" s="61">
        <v>10</v>
      </c>
      <c r="O16" s="62">
        <f t="shared" si="3"/>
        <v>6</v>
      </c>
      <c r="P16" s="62">
        <f t="shared" si="4"/>
        <v>0.1</v>
      </c>
      <c r="Q16" s="91">
        <f t="shared" si="0"/>
        <v>2.2599999999999998</v>
      </c>
    </row>
    <row r="17" spans="2:17">
      <c r="B17" s="54">
        <f t="shared" si="5"/>
        <v>14</v>
      </c>
      <c r="C17" s="53" t="s">
        <v>27</v>
      </c>
      <c r="D17" s="53" t="s">
        <v>34</v>
      </c>
      <c r="E17" s="59">
        <v>3</v>
      </c>
      <c r="F17" s="59">
        <f t="shared" si="6"/>
        <v>0.76</v>
      </c>
      <c r="G17" s="53">
        <v>0.2</v>
      </c>
      <c r="H17" s="60">
        <v>0.1</v>
      </c>
      <c r="I17" s="60">
        <v>0</v>
      </c>
      <c r="J17" s="60">
        <v>0.75</v>
      </c>
      <c r="K17" s="60">
        <v>0.05</v>
      </c>
      <c r="L17" s="60">
        <v>0.1</v>
      </c>
      <c r="M17" s="60">
        <f t="shared" si="2"/>
        <v>1</v>
      </c>
      <c r="N17" s="61">
        <v>15</v>
      </c>
      <c r="O17" s="62">
        <f t="shared" si="3"/>
        <v>4</v>
      </c>
      <c r="P17" s="62">
        <f t="shared" si="4"/>
        <v>6.6666666666666693E-2</v>
      </c>
      <c r="Q17" s="91">
        <f t="shared" si="0"/>
        <v>2.04</v>
      </c>
    </row>
    <row r="18" spans="2:17">
      <c r="B18" s="54">
        <f t="shared" si="5"/>
        <v>15</v>
      </c>
      <c r="C18" s="53" t="s">
        <v>27</v>
      </c>
      <c r="D18" s="53" t="s">
        <v>35</v>
      </c>
      <c r="E18" s="59">
        <v>3</v>
      </c>
      <c r="F18" s="59">
        <f t="shared" si="6"/>
        <v>0.76</v>
      </c>
      <c r="G18" s="53">
        <v>0.2</v>
      </c>
      <c r="H18" s="60">
        <v>0.2</v>
      </c>
      <c r="I18" s="60">
        <v>0</v>
      </c>
      <c r="J18" s="60">
        <v>0.65</v>
      </c>
      <c r="K18" s="60">
        <v>0.05</v>
      </c>
      <c r="L18" s="60">
        <v>0.1</v>
      </c>
      <c r="M18" s="60">
        <f t="shared" si="2"/>
        <v>1</v>
      </c>
      <c r="N18" s="61">
        <v>15</v>
      </c>
      <c r="O18" s="62">
        <f t="shared" si="3"/>
        <v>4</v>
      </c>
      <c r="P18" s="62">
        <f t="shared" si="4"/>
        <v>6.6666666666666693E-2</v>
      </c>
      <c r="Q18" s="91">
        <f t="shared" si="0"/>
        <v>2.04</v>
      </c>
    </row>
    <row r="19" spans="2:17">
      <c r="B19" s="54">
        <f t="shared" si="5"/>
        <v>16</v>
      </c>
      <c r="C19" s="53" t="s">
        <v>27</v>
      </c>
      <c r="D19" s="53" t="s">
        <v>36</v>
      </c>
      <c r="E19" s="59">
        <v>5</v>
      </c>
      <c r="F19" s="59">
        <f t="shared" si="6"/>
        <v>1.41</v>
      </c>
      <c r="G19" s="53">
        <v>0.3</v>
      </c>
      <c r="H19" s="60">
        <v>0</v>
      </c>
      <c r="I19" s="60">
        <v>0.5</v>
      </c>
      <c r="J19" s="60">
        <v>0.2</v>
      </c>
      <c r="K19" s="60">
        <v>0</v>
      </c>
      <c r="L19" s="60">
        <v>0.3</v>
      </c>
      <c r="M19" s="60">
        <f t="shared" si="2"/>
        <v>1</v>
      </c>
      <c r="N19" s="61">
        <v>10</v>
      </c>
      <c r="O19" s="62">
        <f t="shared" si="3"/>
        <v>6</v>
      </c>
      <c r="P19" s="62">
        <f t="shared" si="4"/>
        <v>0.1</v>
      </c>
      <c r="Q19" s="91">
        <f t="shared" si="0"/>
        <v>3.29</v>
      </c>
    </row>
    <row r="20" spans="2:17">
      <c r="B20" s="54">
        <f t="shared" si="5"/>
        <v>17</v>
      </c>
      <c r="C20" s="53" t="s">
        <v>27</v>
      </c>
      <c r="D20" s="53" t="s">
        <v>37</v>
      </c>
      <c r="E20" s="59">
        <v>5</v>
      </c>
      <c r="F20" s="59">
        <f t="shared" si="6"/>
        <v>1.44</v>
      </c>
      <c r="G20" s="53">
        <v>0.3</v>
      </c>
      <c r="H20" s="60">
        <v>0.1</v>
      </c>
      <c r="I20" s="60">
        <v>0.5</v>
      </c>
      <c r="J20" s="60">
        <v>0.2</v>
      </c>
      <c r="K20" s="60">
        <v>0</v>
      </c>
      <c r="L20" s="60">
        <v>0.2</v>
      </c>
      <c r="M20" s="60">
        <f t="shared" si="2"/>
        <v>1</v>
      </c>
      <c r="N20" s="61">
        <v>10</v>
      </c>
      <c r="O20" s="62">
        <f t="shared" si="3"/>
        <v>6</v>
      </c>
      <c r="P20" s="62">
        <f t="shared" si="4"/>
        <v>0.1</v>
      </c>
      <c r="Q20" s="91">
        <f t="shared" si="0"/>
        <v>3.26</v>
      </c>
    </row>
    <row r="21" spans="2:17">
      <c r="B21" s="54">
        <f t="shared" si="5"/>
        <v>18</v>
      </c>
      <c r="C21" s="53" t="s">
        <v>38</v>
      </c>
      <c r="D21" s="53" t="s">
        <v>39</v>
      </c>
      <c r="E21" s="59">
        <v>3</v>
      </c>
      <c r="F21" s="59">
        <f t="shared" si="6"/>
        <v>0.55500000000000005</v>
      </c>
      <c r="G21" s="53">
        <v>0.15</v>
      </c>
      <c r="H21" s="60">
        <v>0.2</v>
      </c>
      <c r="I21" s="60">
        <v>0</v>
      </c>
      <c r="J21" s="60">
        <v>0.5</v>
      </c>
      <c r="K21" s="60">
        <v>0</v>
      </c>
      <c r="L21" s="60">
        <v>0.3</v>
      </c>
      <c r="M21" s="60">
        <f t="shared" si="2"/>
        <v>1</v>
      </c>
      <c r="N21" s="61">
        <v>20</v>
      </c>
      <c r="O21" s="62">
        <f t="shared" si="3"/>
        <v>3</v>
      </c>
      <c r="P21" s="62">
        <f t="shared" si="4"/>
        <v>0.05</v>
      </c>
      <c r="Q21" s="91">
        <f t="shared" si="0"/>
        <v>2.2949999999999999</v>
      </c>
    </row>
    <row r="22" spans="2:17">
      <c r="B22" s="54">
        <f t="shared" si="5"/>
        <v>19</v>
      </c>
      <c r="C22" s="53" t="s">
        <v>38</v>
      </c>
      <c r="D22" s="53" t="s">
        <v>40</v>
      </c>
      <c r="E22" s="59">
        <v>3</v>
      </c>
      <c r="F22" s="59">
        <f t="shared" si="6"/>
        <v>0.55500000000000005</v>
      </c>
      <c r="G22" s="53">
        <v>0.15</v>
      </c>
      <c r="H22" s="60">
        <v>0.2</v>
      </c>
      <c r="I22" s="60">
        <v>0</v>
      </c>
      <c r="J22" s="60">
        <v>0.5</v>
      </c>
      <c r="K22" s="60">
        <v>0</v>
      </c>
      <c r="L22" s="60">
        <v>0.3</v>
      </c>
      <c r="M22" s="60">
        <f t="shared" si="2"/>
        <v>1</v>
      </c>
      <c r="N22" s="61">
        <v>20</v>
      </c>
      <c r="O22" s="62">
        <f t="shared" si="3"/>
        <v>3</v>
      </c>
      <c r="P22" s="62">
        <f t="shared" si="4"/>
        <v>0.05</v>
      </c>
      <c r="Q22" s="91">
        <f t="shared" si="0"/>
        <v>2.2949999999999999</v>
      </c>
    </row>
    <row r="23" spans="2:17">
      <c r="B23" s="54">
        <f t="shared" si="5"/>
        <v>20</v>
      </c>
      <c r="C23" s="53" t="s">
        <v>38</v>
      </c>
      <c r="D23" s="53" t="s">
        <v>41</v>
      </c>
      <c r="E23" s="59">
        <v>1.5</v>
      </c>
      <c r="F23" s="59">
        <f t="shared" si="6"/>
        <v>0.37</v>
      </c>
      <c r="G23" s="53">
        <v>0.1</v>
      </c>
      <c r="H23" s="60">
        <v>0.2</v>
      </c>
      <c r="I23" s="60">
        <v>0</v>
      </c>
      <c r="J23" s="60">
        <v>0.5</v>
      </c>
      <c r="K23" s="60">
        <v>0</v>
      </c>
      <c r="L23" s="60">
        <v>0.3</v>
      </c>
      <c r="M23" s="60">
        <f t="shared" si="2"/>
        <v>1</v>
      </c>
      <c r="N23" s="61">
        <v>60</v>
      </c>
      <c r="O23" s="62">
        <f t="shared" si="3"/>
        <v>1</v>
      </c>
      <c r="P23" s="62">
        <f t="shared" si="4"/>
        <v>1.6666666666666701E-2</v>
      </c>
      <c r="Q23" s="91">
        <f t="shared" si="0"/>
        <v>1.08</v>
      </c>
    </row>
    <row r="24" spans="2:17">
      <c r="B24" s="54">
        <f t="shared" si="5"/>
        <v>21</v>
      </c>
      <c r="C24" s="53" t="s">
        <v>11</v>
      </c>
      <c r="D24" s="53" t="s">
        <v>42</v>
      </c>
      <c r="E24" s="59">
        <v>1.5</v>
      </c>
      <c r="F24" s="59">
        <f t="shared" si="6"/>
        <v>0.4</v>
      </c>
      <c r="G24" s="53">
        <v>0.2</v>
      </c>
      <c r="H24" s="60">
        <v>0</v>
      </c>
      <c r="I24" s="60">
        <v>0</v>
      </c>
      <c r="J24" s="60">
        <v>0</v>
      </c>
      <c r="K24" s="60">
        <v>1</v>
      </c>
      <c r="L24" s="60">
        <v>0</v>
      </c>
      <c r="M24" s="60">
        <f t="shared" si="2"/>
        <v>1</v>
      </c>
      <c r="N24" s="61">
        <v>120</v>
      </c>
      <c r="O24" s="62">
        <f t="shared" si="3"/>
        <v>0.5</v>
      </c>
      <c r="P24" s="62">
        <f t="shared" si="4"/>
        <v>8.3333333333333297E-3</v>
      </c>
      <c r="Q24" s="91">
        <f t="shared" si="0"/>
        <v>1.075</v>
      </c>
    </row>
    <row r="25" spans="2:17">
      <c r="B25" s="54">
        <f t="shared" si="5"/>
        <v>22</v>
      </c>
      <c r="C25" s="53" t="s">
        <v>11</v>
      </c>
      <c r="D25" s="53" t="s">
        <v>43</v>
      </c>
      <c r="E25" s="59">
        <v>1.5</v>
      </c>
      <c r="F25" s="59">
        <f t="shared" si="6"/>
        <v>0.4</v>
      </c>
      <c r="G25" s="53">
        <v>0.2</v>
      </c>
      <c r="H25" s="60">
        <v>0</v>
      </c>
      <c r="I25" s="60">
        <v>0</v>
      </c>
      <c r="J25" s="60">
        <v>0</v>
      </c>
      <c r="K25" s="60">
        <v>1</v>
      </c>
      <c r="L25" s="60">
        <v>0</v>
      </c>
      <c r="M25" s="60">
        <f t="shared" si="2"/>
        <v>1</v>
      </c>
      <c r="N25" s="61">
        <v>120</v>
      </c>
      <c r="O25" s="62">
        <f t="shared" si="3"/>
        <v>0.5</v>
      </c>
      <c r="P25" s="62">
        <f t="shared" si="4"/>
        <v>8.3333333333333297E-3</v>
      </c>
      <c r="Q25" s="91">
        <f t="shared" si="0"/>
        <v>1.075</v>
      </c>
    </row>
    <row r="26" spans="2:17">
      <c r="B26" s="54">
        <f t="shared" si="5"/>
        <v>23</v>
      </c>
      <c r="C26" s="53" t="s">
        <v>11</v>
      </c>
      <c r="D26" s="53" t="s">
        <v>44</v>
      </c>
      <c r="E26" s="59">
        <v>2</v>
      </c>
      <c r="F26" s="59">
        <f t="shared" si="6"/>
        <v>0.48</v>
      </c>
      <c r="G26" s="53">
        <v>0.2</v>
      </c>
      <c r="H26" s="60">
        <v>0</v>
      </c>
      <c r="I26" s="60">
        <v>0</v>
      </c>
      <c r="J26" s="60">
        <v>0.2</v>
      </c>
      <c r="K26" s="60">
        <v>0.8</v>
      </c>
      <c r="L26" s="60">
        <v>0</v>
      </c>
      <c r="M26" s="60">
        <f t="shared" si="2"/>
        <v>1</v>
      </c>
      <c r="N26" s="61">
        <v>60</v>
      </c>
      <c r="O26" s="62">
        <f t="shared" si="3"/>
        <v>1</v>
      </c>
      <c r="P26" s="62">
        <f t="shared" si="4"/>
        <v>1.6666666666666701E-2</v>
      </c>
      <c r="Q26" s="91">
        <f t="shared" si="0"/>
        <v>1.47</v>
      </c>
    </row>
    <row r="27" spans="2:17">
      <c r="B27" s="54">
        <f t="shared" si="5"/>
        <v>24</v>
      </c>
      <c r="C27" s="53" t="s">
        <v>11</v>
      </c>
      <c r="D27" s="53" t="s">
        <v>45</v>
      </c>
      <c r="E27" s="59">
        <v>2</v>
      </c>
      <c r="F27" s="59">
        <f t="shared" si="6"/>
        <v>0.48</v>
      </c>
      <c r="G27" s="53">
        <v>0.2</v>
      </c>
      <c r="H27" s="60">
        <v>0</v>
      </c>
      <c r="I27" s="60">
        <v>0</v>
      </c>
      <c r="J27" s="60">
        <v>0.2</v>
      </c>
      <c r="K27" s="60">
        <v>0.8</v>
      </c>
      <c r="L27" s="60">
        <v>0</v>
      </c>
      <c r="M27" s="60">
        <f t="shared" si="2"/>
        <v>1</v>
      </c>
      <c r="N27" s="61">
        <v>60</v>
      </c>
      <c r="O27" s="62">
        <f t="shared" si="3"/>
        <v>1</v>
      </c>
      <c r="P27" s="62">
        <f t="shared" si="4"/>
        <v>1.6666666666666701E-2</v>
      </c>
      <c r="Q27" s="91">
        <f t="shared" si="0"/>
        <v>1.47</v>
      </c>
    </row>
    <row r="28" spans="2:17">
      <c r="B28" s="54">
        <f t="shared" si="5"/>
        <v>25</v>
      </c>
      <c r="C28" s="53" t="s">
        <v>11</v>
      </c>
      <c r="D28" s="53" t="s">
        <v>46</v>
      </c>
      <c r="E28" s="59">
        <v>1.5</v>
      </c>
      <c r="F28" s="59">
        <f t="shared" si="6"/>
        <v>0.4</v>
      </c>
      <c r="G28" s="53">
        <v>0.2</v>
      </c>
      <c r="H28" s="60">
        <v>0</v>
      </c>
      <c r="I28" s="60">
        <v>0</v>
      </c>
      <c r="J28" s="60">
        <v>0</v>
      </c>
      <c r="K28" s="60">
        <v>1</v>
      </c>
      <c r="L28" s="60">
        <v>0</v>
      </c>
      <c r="M28" s="60">
        <f t="shared" si="2"/>
        <v>1</v>
      </c>
      <c r="N28" s="61">
        <v>40</v>
      </c>
      <c r="O28" s="62">
        <f t="shared" si="3"/>
        <v>1.5</v>
      </c>
      <c r="P28" s="62">
        <f t="shared" si="4"/>
        <v>2.5000000000000001E-2</v>
      </c>
      <c r="Q28" s="91">
        <f t="shared" si="0"/>
        <v>1.0249999999999999</v>
      </c>
    </row>
    <row r="29" spans="2:17">
      <c r="B29" s="54">
        <f t="shared" si="5"/>
        <v>26</v>
      </c>
      <c r="C29" s="53" t="s">
        <v>11</v>
      </c>
      <c r="D29" s="53" t="s">
        <v>47</v>
      </c>
      <c r="E29" s="59">
        <v>1.5</v>
      </c>
      <c r="F29" s="59">
        <f t="shared" si="6"/>
        <v>0.44</v>
      </c>
      <c r="G29" s="53">
        <v>0.2</v>
      </c>
      <c r="H29" s="60">
        <v>0</v>
      </c>
      <c r="I29" s="60">
        <v>0</v>
      </c>
      <c r="J29" s="60">
        <v>0.1</v>
      </c>
      <c r="K29" s="60">
        <v>0.9</v>
      </c>
      <c r="L29" s="60">
        <v>0</v>
      </c>
      <c r="M29" s="60">
        <f t="shared" si="2"/>
        <v>1</v>
      </c>
      <c r="N29" s="61">
        <v>40</v>
      </c>
      <c r="O29" s="62">
        <f t="shared" si="3"/>
        <v>1.5</v>
      </c>
      <c r="P29" s="62">
        <f t="shared" si="4"/>
        <v>2.5000000000000001E-2</v>
      </c>
      <c r="Q29" s="91">
        <f t="shared" si="0"/>
        <v>0.98499999999999999</v>
      </c>
    </row>
    <row r="30" spans="2:17">
      <c r="O30" s="62"/>
    </row>
    <row r="31" spans="2:17">
      <c r="O31" s="62"/>
    </row>
    <row r="32" spans="2:17">
      <c r="O32" s="62"/>
    </row>
    <row r="33" spans="15:15">
      <c r="O33" s="62"/>
    </row>
    <row r="34" spans="15:15">
      <c r="O34" s="62"/>
    </row>
    <row r="35" spans="15:15">
      <c r="O35" s="62"/>
    </row>
    <row r="36" spans="15:15">
      <c r="O36" s="62"/>
    </row>
    <row r="37" spans="15:15">
      <c r="O37" s="62"/>
    </row>
    <row r="38" spans="15:15">
      <c r="O38" s="62"/>
    </row>
    <row r="39" spans="15:15">
      <c r="O39" s="62"/>
    </row>
    <row r="40" spans="15:15">
      <c r="O40" s="62"/>
    </row>
    <row r="41" spans="15:15">
      <c r="O41" s="62"/>
    </row>
    <row r="42" spans="15:15">
      <c r="O42" s="62"/>
    </row>
    <row r="43" spans="15:15">
      <c r="O43" s="62"/>
    </row>
    <row r="44" spans="15:15">
      <c r="O44" s="62"/>
    </row>
    <row r="45" spans="15:15">
      <c r="O45" s="62"/>
    </row>
    <row r="46" spans="15:15">
      <c r="O46" s="62"/>
    </row>
    <row r="47" spans="15:15">
      <c r="O47" s="62"/>
    </row>
    <row r="48" spans="15:15">
      <c r="O48" s="62"/>
    </row>
    <row r="49" spans="15:15">
      <c r="O49" s="62"/>
    </row>
    <row r="50" spans="15:15">
      <c r="O50" s="62"/>
    </row>
    <row r="51" spans="15:15">
      <c r="O51" s="62"/>
    </row>
    <row r="52" spans="15:15">
      <c r="O52" s="62"/>
    </row>
    <row r="53" spans="15:15">
      <c r="O53" s="62"/>
    </row>
    <row r="54" spans="15:15">
      <c r="O54" s="62"/>
    </row>
  </sheetData>
  <mergeCells count="1">
    <mergeCell ref="H1:L1"/>
  </mergeCells>
  <conditionalFormatting sqref="Q4:Q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{1183BDE6-337F-4062-ADBF-2E018A5FA1A0}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83BDE6-337F-4062-ADBF-2E018A5FA1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Q4:Q29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2:L10"/>
  <sheetViews>
    <sheetView zoomScale="110" zoomScaleNormal="110" workbookViewId="0">
      <selection activeCell="I3" sqref="I3"/>
    </sheetView>
  </sheetViews>
  <sheetFormatPr defaultColWidth="10.875" defaultRowHeight="15.75"/>
  <cols>
    <col min="1" max="2" width="10.875" style="53"/>
    <col min="3" max="7" width="20.5" style="53" customWidth="1"/>
    <col min="8" max="8" width="3.75" style="53" customWidth="1"/>
    <col min="9" max="9" width="14.5" style="53" customWidth="1"/>
    <col min="10" max="10" width="11.5" style="53" customWidth="1"/>
    <col min="11" max="16384" width="10.875" style="53"/>
  </cols>
  <sheetData>
    <row r="2" spans="2:12">
      <c r="C2" s="57" t="s">
        <v>8</v>
      </c>
      <c r="D2" s="57" t="s">
        <v>9</v>
      </c>
      <c r="E2" s="57" t="s">
        <v>10</v>
      </c>
      <c r="F2" s="57" t="s">
        <v>11</v>
      </c>
      <c r="G2" s="57" t="s">
        <v>12</v>
      </c>
      <c r="H2" s="86"/>
      <c r="I2" s="57" t="s">
        <v>48</v>
      </c>
    </row>
    <row r="3" spans="2:12">
      <c r="B3" s="53" t="s">
        <v>49</v>
      </c>
      <c r="C3" s="59">
        <v>8.35</v>
      </c>
      <c r="D3" s="59">
        <v>14.13</v>
      </c>
      <c r="E3" s="59">
        <v>12.83</v>
      </c>
      <c r="F3" s="59">
        <v>5.93</v>
      </c>
      <c r="G3" s="59">
        <v>5.89</v>
      </c>
      <c r="H3" s="59"/>
      <c r="I3" s="59">
        <v>10</v>
      </c>
      <c r="J3" s="87"/>
      <c r="L3" s="88"/>
    </row>
    <row r="4" spans="2:12">
      <c r="B4" s="53" t="s">
        <v>50</v>
      </c>
      <c r="C4" s="59">
        <v>6.79</v>
      </c>
      <c r="D4" s="59">
        <v>13.56</v>
      </c>
      <c r="E4" s="59">
        <v>11.34</v>
      </c>
      <c r="F4" s="59">
        <v>4.5599999999999996</v>
      </c>
      <c r="G4" s="59">
        <v>5.34</v>
      </c>
      <c r="I4" s="59">
        <v>10.5</v>
      </c>
      <c r="J4" s="87"/>
      <c r="L4" s="88"/>
    </row>
    <row r="5" spans="2:12">
      <c r="B5" s="53" t="s">
        <v>51</v>
      </c>
      <c r="C5" s="59">
        <v>6.23</v>
      </c>
      <c r="D5" s="59">
        <v>13.8</v>
      </c>
      <c r="E5" s="59">
        <v>12.45</v>
      </c>
      <c r="F5" s="59">
        <v>5.2</v>
      </c>
      <c r="G5" s="59">
        <v>5.7</v>
      </c>
      <c r="I5" s="59">
        <v>11</v>
      </c>
      <c r="J5" s="87"/>
      <c r="L5" s="88"/>
    </row>
    <row r="6" spans="2:12">
      <c r="B6" s="53" t="s">
        <v>52</v>
      </c>
      <c r="C6" s="59">
        <v>14.56</v>
      </c>
      <c r="D6" s="59">
        <v>21.88</v>
      </c>
      <c r="E6" s="59">
        <v>15.54</v>
      </c>
      <c r="F6" s="59">
        <v>9.83</v>
      </c>
      <c r="G6" s="59">
        <v>10.78</v>
      </c>
      <c r="I6" s="59">
        <v>9</v>
      </c>
      <c r="J6" s="87"/>
      <c r="L6" s="88"/>
    </row>
    <row r="7" spans="2:12">
      <c r="B7" s="53" t="s">
        <v>53</v>
      </c>
      <c r="C7" s="59">
        <v>14.2</v>
      </c>
      <c r="D7" s="59">
        <v>19.510000000000002</v>
      </c>
      <c r="E7" s="59">
        <v>15.24</v>
      </c>
      <c r="F7" s="59">
        <v>9.5</v>
      </c>
      <c r="G7" s="59">
        <v>9.01</v>
      </c>
      <c r="I7" s="59">
        <v>9.5</v>
      </c>
      <c r="J7" s="87"/>
      <c r="L7" s="88"/>
    </row>
    <row r="8" spans="2:12">
      <c r="B8" s="53" t="s">
        <v>54</v>
      </c>
      <c r="C8" s="59">
        <v>5.36</v>
      </c>
      <c r="D8" s="59">
        <v>12.93</v>
      </c>
      <c r="E8" s="59">
        <v>10.3</v>
      </c>
      <c r="F8" s="59">
        <v>4.6399999999999997</v>
      </c>
      <c r="G8" s="59">
        <v>4.8</v>
      </c>
      <c r="I8" s="59">
        <v>8</v>
      </c>
      <c r="J8" s="87"/>
      <c r="L8" s="88"/>
    </row>
    <row r="9" spans="2:12">
      <c r="B9" s="53" t="s">
        <v>55</v>
      </c>
      <c r="C9" s="59">
        <v>9.6199999999999992</v>
      </c>
      <c r="D9" s="59">
        <v>14.79</v>
      </c>
      <c r="E9" s="59">
        <v>14.44</v>
      </c>
      <c r="F9" s="59">
        <v>8.6999999999999993</v>
      </c>
      <c r="G9" s="59">
        <v>8.0399999999999991</v>
      </c>
      <c r="I9" s="59">
        <v>10</v>
      </c>
      <c r="J9" s="87"/>
      <c r="L9" s="88"/>
    </row>
    <row r="10" spans="2:12">
      <c r="B10" s="53" t="s">
        <v>56</v>
      </c>
      <c r="C10" s="59">
        <v>9.2899999999999991</v>
      </c>
      <c r="D10" s="59">
        <v>14.35</v>
      </c>
      <c r="E10" s="59">
        <v>13.55</v>
      </c>
      <c r="F10" s="59">
        <v>8.24</v>
      </c>
      <c r="G10" s="59">
        <v>6.44</v>
      </c>
      <c r="I10" s="59">
        <v>14</v>
      </c>
      <c r="J10" s="87"/>
      <c r="L10" s="8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B2:F12"/>
  <sheetViews>
    <sheetView zoomScale="80" zoomScaleNormal="80" workbookViewId="0">
      <selection activeCell="E48" sqref="E48"/>
    </sheetView>
  </sheetViews>
  <sheetFormatPr defaultColWidth="10.875" defaultRowHeight="15.75"/>
  <cols>
    <col min="1" max="1" width="10.875" style="53"/>
    <col min="2" max="2" width="13.75" style="53" customWidth="1"/>
    <col min="3" max="6" width="22.125" style="53" customWidth="1"/>
    <col min="7" max="16384" width="10.875" style="53"/>
  </cols>
  <sheetData>
    <row r="2" spans="2:6">
      <c r="C2" s="57" t="s">
        <v>19</v>
      </c>
      <c r="D2" s="57" t="s">
        <v>27</v>
      </c>
      <c r="E2" s="57" t="s">
        <v>38</v>
      </c>
      <c r="F2" s="57" t="s">
        <v>11</v>
      </c>
    </row>
    <row r="3" spans="2:6">
      <c r="B3" s="53" t="s">
        <v>49</v>
      </c>
      <c r="C3" s="73">
        <v>0.3</v>
      </c>
      <c r="D3" s="73">
        <v>0.55000000000000004</v>
      </c>
      <c r="E3" s="73">
        <v>0.35</v>
      </c>
      <c r="F3" s="73">
        <v>0.8</v>
      </c>
    </row>
    <row r="4" spans="2:6">
      <c r="B4" s="53" t="s">
        <v>50</v>
      </c>
      <c r="C4" s="73">
        <v>0.55000000000000004</v>
      </c>
      <c r="D4" s="73">
        <v>0.6</v>
      </c>
      <c r="E4" s="73">
        <v>0.4</v>
      </c>
      <c r="F4" s="73">
        <v>0.8</v>
      </c>
    </row>
    <row r="5" spans="2:6">
      <c r="B5" s="53" t="s">
        <v>51</v>
      </c>
      <c r="C5" s="73">
        <v>0.4</v>
      </c>
      <c r="D5" s="73">
        <v>0.85</v>
      </c>
      <c r="E5" s="77">
        <v>0.55000000000000004</v>
      </c>
      <c r="F5" s="73">
        <v>0.75</v>
      </c>
    </row>
    <row r="6" spans="2:6">
      <c r="B6" s="53" t="s">
        <v>52</v>
      </c>
      <c r="C6" s="73">
        <v>0.55000000000000004</v>
      </c>
      <c r="D6" s="73">
        <v>0.9</v>
      </c>
      <c r="E6" s="73">
        <v>0.7</v>
      </c>
      <c r="F6" s="73">
        <v>0.9</v>
      </c>
    </row>
    <row r="7" spans="2:6">
      <c r="B7" s="53" t="s">
        <v>53</v>
      </c>
      <c r="C7" s="73">
        <v>0.5</v>
      </c>
      <c r="D7" s="73">
        <v>0.85</v>
      </c>
      <c r="E7" s="73">
        <v>0.8</v>
      </c>
      <c r="F7" s="73">
        <v>0.95</v>
      </c>
    </row>
    <row r="8" spans="2:6">
      <c r="B8" s="53" t="s">
        <v>54</v>
      </c>
      <c r="C8" s="73">
        <v>0.4</v>
      </c>
      <c r="D8" s="73">
        <v>0.6</v>
      </c>
      <c r="E8" s="73">
        <v>0.65</v>
      </c>
      <c r="F8" s="73">
        <v>0.8</v>
      </c>
    </row>
    <row r="9" spans="2:6">
      <c r="B9" s="53" t="s">
        <v>55</v>
      </c>
      <c r="C9" s="73">
        <v>0.2</v>
      </c>
      <c r="D9" s="73">
        <v>0.65</v>
      </c>
      <c r="E9" s="73">
        <v>0.45</v>
      </c>
      <c r="F9" s="73">
        <v>0.75</v>
      </c>
    </row>
    <row r="10" spans="2:6">
      <c r="B10" s="53" t="s">
        <v>56</v>
      </c>
      <c r="C10" s="73">
        <v>0.35</v>
      </c>
      <c r="D10" s="73">
        <v>0.8</v>
      </c>
      <c r="E10" s="73">
        <v>0.5</v>
      </c>
      <c r="F10" s="73">
        <v>0.95</v>
      </c>
    </row>
    <row r="12" spans="2:6">
      <c r="B12" s="53" t="s">
        <v>57</v>
      </c>
      <c r="C12" s="73">
        <v>0.25</v>
      </c>
      <c r="D12" s="73">
        <v>0.85</v>
      </c>
      <c r="E12" s="73">
        <v>0.55000000000000004</v>
      </c>
      <c r="F12" s="73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3:I14"/>
  <sheetViews>
    <sheetView workbookViewId="0">
      <selection activeCell="D3" sqref="D3:G14"/>
    </sheetView>
  </sheetViews>
  <sheetFormatPr defaultColWidth="10.875" defaultRowHeight="15.75"/>
  <cols>
    <col min="1" max="1" width="10.875" style="53"/>
    <col min="2" max="2" width="14.625" style="53" customWidth="1"/>
    <col min="3" max="3" width="83.625" style="53" customWidth="1"/>
    <col min="4" max="4" width="10.875" style="53"/>
    <col min="5" max="5" width="15.75" style="53" customWidth="1"/>
    <col min="6" max="16384" width="10.875" style="53"/>
  </cols>
  <sheetData>
    <row r="3" spans="2:9" ht="31.5">
      <c r="B3" s="93" t="s">
        <v>58</v>
      </c>
      <c r="C3" s="93"/>
      <c r="E3" s="84"/>
      <c r="F3" s="85"/>
      <c r="G3" s="85"/>
      <c r="H3" s="85"/>
      <c r="I3" s="85"/>
    </row>
    <row r="7" spans="2:9">
      <c r="F7" s="61"/>
    </row>
    <row r="8" spans="2:9">
      <c r="F8" s="61"/>
    </row>
    <row r="9" spans="2:9">
      <c r="F9" s="61"/>
    </row>
    <row r="10" spans="2:9">
      <c r="F10" s="61"/>
    </row>
    <row r="11" spans="2:9">
      <c r="F11" s="61"/>
    </row>
    <row r="12" spans="2:9">
      <c r="F12" s="61"/>
    </row>
    <row r="13" spans="2:9">
      <c r="F13" s="61"/>
    </row>
    <row r="14" spans="2:9">
      <c r="F14" s="61"/>
    </row>
  </sheetData>
  <mergeCells count="1">
    <mergeCell ref="B3:C3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B1:V12"/>
  <sheetViews>
    <sheetView zoomScale="110" zoomScaleNormal="110" workbookViewId="0">
      <pane xSplit="2" ySplit="2" topLeftCell="F3" activePane="bottomRight" state="frozen"/>
      <selection pane="topRight"/>
      <selection pane="bottomLeft"/>
      <selection pane="bottomRight" activeCell="L10" sqref="L10"/>
    </sheetView>
  </sheetViews>
  <sheetFormatPr defaultColWidth="10.875" defaultRowHeight="15.75"/>
  <cols>
    <col min="1" max="1" width="10.875" style="53"/>
    <col min="2" max="2" width="11.875" style="53" customWidth="1"/>
    <col min="3" max="3" width="13.125" style="53" customWidth="1"/>
    <col min="4" max="4" width="14.25" style="53" customWidth="1"/>
    <col min="5" max="5" width="12.75" style="53" customWidth="1"/>
    <col min="6" max="6" width="9.5" style="53" customWidth="1"/>
    <col min="7" max="8" width="7.75" style="53" customWidth="1"/>
    <col min="9" max="9" width="8.875" style="53" customWidth="1"/>
    <col min="10" max="10" width="5.375" style="53" customWidth="1"/>
    <col min="11" max="11" width="7.25" style="53" customWidth="1"/>
    <col min="12" max="12" width="9.5" style="53" customWidth="1"/>
    <col min="13" max="16" width="9.75" style="53" customWidth="1"/>
    <col min="17" max="20" width="8.125" style="53" customWidth="1"/>
    <col min="21" max="21" width="2.625" style="53" customWidth="1"/>
    <col min="22" max="22" width="12.625" style="53" customWidth="1"/>
    <col min="23" max="16384" width="10.875" style="53"/>
  </cols>
  <sheetData>
    <row r="1" spans="2:22">
      <c r="M1" s="94" t="s">
        <v>59</v>
      </c>
      <c r="N1" s="95"/>
      <c r="O1" s="95"/>
      <c r="P1" s="96"/>
      <c r="Q1" s="94" t="s">
        <v>60</v>
      </c>
      <c r="R1" s="95"/>
      <c r="S1" s="95"/>
      <c r="T1" s="96"/>
    </row>
    <row r="2" spans="2:22">
      <c r="C2" s="57" t="s">
        <v>8</v>
      </c>
      <c r="D2" s="57" t="s">
        <v>9</v>
      </c>
      <c r="E2" s="57" t="s">
        <v>10</v>
      </c>
      <c r="F2" s="57" t="s">
        <v>11</v>
      </c>
      <c r="G2" s="57" t="s">
        <v>12</v>
      </c>
      <c r="H2" s="57" t="s">
        <v>48</v>
      </c>
      <c r="I2" s="57" t="s">
        <v>19</v>
      </c>
      <c r="J2" s="57" t="s">
        <v>27</v>
      </c>
      <c r="K2" s="57" t="s">
        <v>38</v>
      </c>
      <c r="L2" s="57" t="s">
        <v>11</v>
      </c>
      <c r="M2" s="70" t="s">
        <v>19</v>
      </c>
      <c r="N2" s="71" t="s">
        <v>27</v>
      </c>
      <c r="O2" s="71" t="s">
        <v>38</v>
      </c>
      <c r="P2" s="72" t="s">
        <v>11</v>
      </c>
      <c r="Q2" s="70" t="s">
        <v>19</v>
      </c>
      <c r="R2" s="71" t="s">
        <v>27</v>
      </c>
      <c r="S2" s="71" t="s">
        <v>38</v>
      </c>
      <c r="T2" s="72" t="s">
        <v>11</v>
      </c>
      <c r="U2" s="57"/>
      <c r="V2" s="81" t="s">
        <v>61</v>
      </c>
    </row>
    <row r="3" spans="2:22">
      <c r="B3" s="53" t="s">
        <v>49</v>
      </c>
      <c r="C3" s="69">
        <f>VLOOKUP(B3,COGS!$B$2:$I$10,2,FALSE)</f>
        <v>8.35</v>
      </c>
      <c r="D3" s="69">
        <f>VLOOKUP($B3,COGS!$B$2:$I$10,3,FALSE)</f>
        <v>14.13</v>
      </c>
      <c r="E3" s="69">
        <f>VLOOKUP($B3,COGS!$B$2:$I$10,4,FALSE)</f>
        <v>12.83</v>
      </c>
      <c r="F3" s="69">
        <f>VLOOKUP($B3,COGS!$B$2:$I$10,5,FALSE)</f>
        <v>5.93</v>
      </c>
      <c r="G3" s="69">
        <f>VLOOKUP($B3,COGS!$B$2:$I$10,6,FALSE)</f>
        <v>5.89</v>
      </c>
      <c r="H3" s="69">
        <f>VLOOKUP($B3,COGS!$B$2:$I$10,8,FALSE)</f>
        <v>10</v>
      </c>
      <c r="I3" s="73">
        <v>0.3</v>
      </c>
      <c r="J3" s="73">
        <v>0.55000000000000004</v>
      </c>
      <c r="K3" s="73">
        <v>0.35</v>
      </c>
      <c r="L3" s="73">
        <v>0.8</v>
      </c>
      <c r="M3" s="74">
        <f>AVERAGEIFS('Menu and cost - USA by city'!$E:$E,'Menu and cost - USA by city'!$A:$A,'Mean order price'!$B3,'Menu and cost - USA by city'!$C:$C,'Mean order price'!I$2)</f>
        <v>2.8571428571428572</v>
      </c>
      <c r="N3" s="75">
        <f>AVERAGEIFS('Menu and cost - USA by city'!$E:$E,'Menu and cost - USA by city'!$A:$A,'Mean order price'!$B3,'Menu and cost - USA by city'!$C:$C,'Mean order price'!J$2)</f>
        <v>4.8000000000000016</v>
      </c>
      <c r="O3" s="75">
        <f>AVERAGEIFS('Menu and cost - USA by city'!$E:$E,'Menu and cost - USA by city'!$A:$A,'Mean order price'!$B3,'Menu and cost - USA by city'!$C:$C,'Mean order price'!K$2)</f>
        <v>3.3333333333333335</v>
      </c>
      <c r="P3" s="76">
        <f>AVERAGEIFS('Menu and cost - USA by city'!$E:$E,'Menu and cost - USA by city'!$A:$A,'Mean order price'!$B3,'Menu and cost - USA by city'!$C:$C,'Mean order price'!L$2)</f>
        <v>2.2222222222222223</v>
      </c>
      <c r="Q3" s="74">
        <f>I3*M3</f>
        <v>0.8571428571428571</v>
      </c>
      <c r="R3" s="75">
        <f t="shared" ref="R3:T3" si="0">J3*N3</f>
        <v>2.640000000000001</v>
      </c>
      <c r="S3" s="75">
        <f t="shared" si="0"/>
        <v>1.1666666666666667</v>
      </c>
      <c r="T3" s="76">
        <f t="shared" si="0"/>
        <v>1.7777777777777779</v>
      </c>
      <c r="U3" s="69"/>
      <c r="V3" s="82">
        <f>SUMPRODUCT(I3:L3,M3:P3)</f>
        <v>6.4415873015873029</v>
      </c>
    </row>
    <row r="4" spans="2:22">
      <c r="B4" s="53" t="s">
        <v>50</v>
      </c>
      <c r="C4" s="69">
        <f>VLOOKUP(B4,COGS!$B$2:$I$10,2,FALSE)</f>
        <v>6.79</v>
      </c>
      <c r="D4" s="69">
        <f>VLOOKUP($B4,COGS!$B$2:$I$10,3,FALSE)</f>
        <v>13.56</v>
      </c>
      <c r="E4" s="69">
        <f>VLOOKUP($B4,COGS!$B$2:$I$10,4,FALSE)</f>
        <v>11.34</v>
      </c>
      <c r="F4" s="69">
        <f>VLOOKUP($B4,COGS!$B$2:$I$10,5,FALSE)</f>
        <v>4.5599999999999996</v>
      </c>
      <c r="G4" s="69">
        <f>VLOOKUP($B4,COGS!$B$2:$I$10,6,FALSE)</f>
        <v>5.34</v>
      </c>
      <c r="H4" s="69">
        <f>VLOOKUP($B4,COGS!$B$2:$I$10,8,FALSE)</f>
        <v>10.5</v>
      </c>
      <c r="I4" s="73">
        <v>0.55000000000000004</v>
      </c>
      <c r="J4" s="73">
        <v>0.6</v>
      </c>
      <c r="K4" s="73">
        <v>0.4</v>
      </c>
      <c r="L4" s="73">
        <v>0.8</v>
      </c>
      <c r="M4" s="74">
        <f>AVERAGEIFS('Menu and cost - USA by city'!$E:$E,'Menu and cost - USA by city'!$A:$A,'Mean order price'!$B4,'Menu and cost - USA by city'!$C:$C,'Mean order price'!I$2)</f>
        <v>3</v>
      </c>
      <c r="N4" s="75">
        <f>AVERAGEIFS('Menu and cost - USA by city'!$E:$E,'Menu and cost - USA by city'!$A:$A,'Mean order price'!$B4,'Menu and cost - USA by city'!$C:$C,'Mean order price'!J$2)</f>
        <v>5.0400000000000009</v>
      </c>
      <c r="O4" s="75">
        <f>AVERAGEIFS('Menu and cost - USA by city'!$E:$E,'Menu and cost - USA by city'!$A:$A,'Mean order price'!$B4,'Menu and cost - USA by city'!$C:$C,'Mean order price'!K$2)</f>
        <v>3.5</v>
      </c>
      <c r="P4" s="76">
        <f>AVERAGEIFS('Menu and cost - USA by city'!$E:$E,'Menu and cost - USA by city'!$A:$A,'Mean order price'!$B4,'Menu and cost - USA by city'!$C:$C,'Mean order price'!L$2)</f>
        <v>2.3333333333333335</v>
      </c>
      <c r="Q4" s="74">
        <f t="shared" ref="Q4:Q10" si="1">I4*M4</f>
        <v>1.6500000000000001</v>
      </c>
      <c r="R4" s="75">
        <f t="shared" ref="R4:R10" si="2">J4*N4</f>
        <v>3.0240000000000005</v>
      </c>
      <c r="S4" s="75">
        <f t="shared" ref="S4:S10" si="3">K4*O4</f>
        <v>1.4000000000000001</v>
      </c>
      <c r="T4" s="76">
        <f t="shared" ref="T4:T10" si="4">L4*P4</f>
        <v>1.8666666666666669</v>
      </c>
      <c r="U4" s="73"/>
      <c r="V4" s="82">
        <f t="shared" ref="V4:V10" si="5">SUMPRODUCT(I4:L4,M4:P4)</f>
        <v>7.9406666666666679</v>
      </c>
    </row>
    <row r="5" spans="2:22">
      <c r="B5" s="53" t="s">
        <v>51</v>
      </c>
      <c r="C5" s="69">
        <f>VLOOKUP(B5,COGS!$B$2:$I$10,2,FALSE)</f>
        <v>6.23</v>
      </c>
      <c r="D5" s="69">
        <f>VLOOKUP($B5,COGS!$B$2:$I$10,3,FALSE)</f>
        <v>13.8</v>
      </c>
      <c r="E5" s="69">
        <f>VLOOKUP($B5,COGS!$B$2:$I$10,4,FALSE)</f>
        <v>12.45</v>
      </c>
      <c r="F5" s="69">
        <f>VLOOKUP($B5,COGS!$B$2:$I$10,5,FALSE)</f>
        <v>5.2</v>
      </c>
      <c r="G5" s="69">
        <f>VLOOKUP($B5,COGS!$B$2:$I$10,6,FALSE)</f>
        <v>5.7</v>
      </c>
      <c r="H5" s="69">
        <f>VLOOKUP($B5,COGS!$B$2:$I$10,8,FALSE)</f>
        <v>11</v>
      </c>
      <c r="I5" s="73">
        <v>0.4</v>
      </c>
      <c r="J5" s="73">
        <v>0.85</v>
      </c>
      <c r="K5" s="77">
        <v>0.55000000000000004</v>
      </c>
      <c r="L5" s="73">
        <v>0.75</v>
      </c>
      <c r="M5" s="74">
        <f>AVERAGEIFS('Menu and cost - USA by city'!$E:$E,'Menu and cost - USA by city'!$A:$A,'Mean order price'!$B5,'Menu and cost - USA by city'!$C:$C,'Mean order price'!I$2)</f>
        <v>3.1428571428571428</v>
      </c>
      <c r="N5" s="75">
        <f>AVERAGEIFS('Menu and cost - USA by city'!$E:$E,'Menu and cost - USA by city'!$A:$A,'Mean order price'!$B5,'Menu and cost - USA by city'!$C:$C,'Mean order price'!J$2)</f>
        <v>5.28</v>
      </c>
      <c r="O5" s="75">
        <f>AVERAGEIFS('Menu and cost - USA by city'!$E:$E,'Menu and cost - USA by city'!$A:$A,'Mean order price'!$B5,'Menu and cost - USA by city'!$C:$C,'Mean order price'!K$2)</f>
        <v>3.6666666666666665</v>
      </c>
      <c r="P5" s="76">
        <f>AVERAGEIFS('Menu and cost - USA by city'!$E:$E,'Menu and cost - USA by city'!$A:$A,'Mean order price'!$B5,'Menu and cost - USA by city'!$C:$C,'Mean order price'!L$2)</f>
        <v>2.4444444444444446</v>
      </c>
      <c r="Q5" s="74">
        <f t="shared" si="1"/>
        <v>1.2571428571428571</v>
      </c>
      <c r="R5" s="75">
        <f t="shared" si="2"/>
        <v>4.4880000000000004</v>
      </c>
      <c r="S5" s="75">
        <f t="shared" si="3"/>
        <v>2.0166666666666666</v>
      </c>
      <c r="T5" s="76">
        <f t="shared" si="4"/>
        <v>1.8333333333333335</v>
      </c>
      <c r="U5" s="73"/>
      <c r="V5" s="82">
        <f t="shared" si="5"/>
        <v>9.5951428571428572</v>
      </c>
    </row>
    <row r="6" spans="2:22">
      <c r="B6" s="53" t="s">
        <v>52</v>
      </c>
      <c r="C6" s="69">
        <f>VLOOKUP(B6,COGS!$B$2:$I$10,2,FALSE)</f>
        <v>14.56</v>
      </c>
      <c r="D6" s="69">
        <f>VLOOKUP($B6,COGS!$B$2:$I$10,3,FALSE)</f>
        <v>21.88</v>
      </c>
      <c r="E6" s="69">
        <f>VLOOKUP($B6,COGS!$B$2:$I$10,4,FALSE)</f>
        <v>15.54</v>
      </c>
      <c r="F6" s="69">
        <f>VLOOKUP($B6,COGS!$B$2:$I$10,5,FALSE)</f>
        <v>9.83</v>
      </c>
      <c r="G6" s="69">
        <f>VLOOKUP($B6,COGS!$B$2:$I$10,6,FALSE)</f>
        <v>10.78</v>
      </c>
      <c r="H6" s="69">
        <f>VLOOKUP($B6,COGS!$B$2:$I$10,8,FALSE)</f>
        <v>9</v>
      </c>
      <c r="I6" s="73">
        <v>0.55000000000000004</v>
      </c>
      <c r="J6" s="73">
        <v>0.9</v>
      </c>
      <c r="K6" s="73">
        <v>0.7</v>
      </c>
      <c r="L6" s="73">
        <v>0.9</v>
      </c>
      <c r="M6" s="74">
        <f>AVERAGEIFS('Menu and cost - USA by city'!$E:$E,'Menu and cost - USA by city'!$A:$A,'Mean order price'!$B6,'Menu and cost - USA by city'!$C:$C,'Mean order price'!I$2)</f>
        <v>2.5714285714285716</v>
      </c>
      <c r="N6" s="75">
        <f>AVERAGEIFS('Menu and cost - USA by city'!$E:$E,'Menu and cost - USA by city'!$A:$A,'Mean order price'!$B6,'Menu and cost - USA by city'!$C:$C,'Mean order price'!J$2)</f>
        <v>4.32</v>
      </c>
      <c r="O6" s="75">
        <f>AVERAGEIFS('Menu and cost - USA by city'!$E:$E,'Menu and cost - USA by city'!$A:$A,'Mean order price'!$B6,'Menu and cost - USA by city'!$C:$C,'Mean order price'!K$2)</f>
        <v>3</v>
      </c>
      <c r="P6" s="76">
        <f>AVERAGEIFS('Menu and cost - USA by city'!$E:$E,'Menu and cost - USA by city'!$A:$A,'Mean order price'!$B6,'Menu and cost - USA by city'!$C:$C,'Mean order price'!L$2)</f>
        <v>2.0000000000000004</v>
      </c>
      <c r="Q6" s="74">
        <f t="shared" si="1"/>
        <v>1.4142857142857146</v>
      </c>
      <c r="R6" s="75">
        <f t="shared" si="2"/>
        <v>3.8880000000000003</v>
      </c>
      <c r="S6" s="75">
        <f t="shared" si="3"/>
        <v>2.0999999999999996</v>
      </c>
      <c r="T6" s="76">
        <f t="shared" si="4"/>
        <v>1.8000000000000005</v>
      </c>
      <c r="U6" s="73"/>
      <c r="V6" s="82">
        <f t="shared" si="5"/>
        <v>9.2022857142857148</v>
      </c>
    </row>
    <row r="7" spans="2:22">
      <c r="B7" s="53" t="s">
        <v>53</v>
      </c>
      <c r="C7" s="69">
        <f>VLOOKUP(B7,COGS!$B$2:$I$10,2,FALSE)</f>
        <v>14.2</v>
      </c>
      <c r="D7" s="69">
        <f>VLOOKUP($B7,COGS!$B$2:$I$10,3,FALSE)</f>
        <v>19.510000000000002</v>
      </c>
      <c r="E7" s="69">
        <f>VLOOKUP($B7,COGS!$B$2:$I$10,4,FALSE)</f>
        <v>15.24</v>
      </c>
      <c r="F7" s="69">
        <f>VLOOKUP($B7,COGS!$B$2:$I$10,5,FALSE)</f>
        <v>9.5</v>
      </c>
      <c r="G7" s="69">
        <f>VLOOKUP($B7,COGS!$B$2:$I$10,6,FALSE)</f>
        <v>9.01</v>
      </c>
      <c r="H7" s="69">
        <f>VLOOKUP($B7,COGS!$B$2:$I$10,8,FALSE)</f>
        <v>9.5</v>
      </c>
      <c r="I7" s="73">
        <v>0.5</v>
      </c>
      <c r="J7" s="73">
        <v>0.85</v>
      </c>
      <c r="K7" s="73">
        <v>0.8</v>
      </c>
      <c r="L7" s="73">
        <v>0.95</v>
      </c>
      <c r="M7" s="74">
        <f>AVERAGEIFS('Menu and cost - USA by city'!$E:$E,'Menu and cost - USA by city'!$A:$A,'Mean order price'!$B7,'Menu and cost - USA by city'!$C:$C,'Mean order price'!I$2)</f>
        <v>2.7142857142857144</v>
      </c>
      <c r="N7" s="75">
        <f>AVERAGEIFS('Menu and cost - USA by city'!$E:$E,'Menu and cost - USA by city'!$A:$A,'Mean order price'!$B7,'Menu and cost - USA by city'!$C:$C,'Mean order price'!J$2)</f>
        <v>4.5600000000000005</v>
      </c>
      <c r="O7" s="75">
        <f>AVERAGEIFS('Menu and cost - USA by city'!$E:$E,'Menu and cost - USA by city'!$A:$A,'Mean order price'!$B7,'Menu and cost - USA by city'!$C:$C,'Mean order price'!K$2)</f>
        <v>3.1666666666666665</v>
      </c>
      <c r="P7" s="76">
        <f>AVERAGEIFS('Menu and cost - USA by city'!$E:$E,'Menu and cost - USA by city'!$A:$A,'Mean order price'!$B7,'Menu and cost - USA by city'!$C:$C,'Mean order price'!L$2)</f>
        <v>2.1111111111111112</v>
      </c>
      <c r="Q7" s="74">
        <f t="shared" si="1"/>
        <v>1.3571428571428572</v>
      </c>
      <c r="R7" s="75">
        <f t="shared" si="2"/>
        <v>3.8760000000000003</v>
      </c>
      <c r="S7" s="75">
        <f t="shared" si="3"/>
        <v>2.5333333333333332</v>
      </c>
      <c r="T7" s="76">
        <f t="shared" si="4"/>
        <v>2.0055555555555555</v>
      </c>
      <c r="U7" s="73"/>
      <c r="V7" s="82">
        <f t="shared" si="5"/>
        <v>9.7720317460317467</v>
      </c>
    </row>
    <row r="8" spans="2:22">
      <c r="B8" s="53" t="s">
        <v>54</v>
      </c>
      <c r="C8" s="69">
        <f>VLOOKUP(B8,COGS!$B$2:$I$10,2,FALSE)</f>
        <v>5.36</v>
      </c>
      <c r="D8" s="69">
        <f>VLOOKUP($B8,COGS!$B$2:$I$10,3,FALSE)</f>
        <v>12.93</v>
      </c>
      <c r="E8" s="69">
        <f>VLOOKUP($B8,COGS!$B$2:$I$10,4,FALSE)</f>
        <v>10.3</v>
      </c>
      <c r="F8" s="69">
        <f>VLOOKUP($B8,COGS!$B$2:$I$10,5,FALSE)</f>
        <v>4.6399999999999997</v>
      </c>
      <c r="G8" s="69">
        <f>VLOOKUP($B8,COGS!$B$2:$I$10,6,FALSE)</f>
        <v>4.8</v>
      </c>
      <c r="H8" s="69">
        <f>VLOOKUP($B8,COGS!$B$2:$I$10,8,FALSE)</f>
        <v>8</v>
      </c>
      <c r="I8" s="73">
        <v>0.4</v>
      </c>
      <c r="J8" s="73">
        <v>0.6</v>
      </c>
      <c r="K8" s="73">
        <v>0.65</v>
      </c>
      <c r="L8" s="73">
        <v>0.8</v>
      </c>
      <c r="M8" s="74">
        <f>AVERAGEIFS('Menu and cost - USA by city'!$E:$E,'Menu and cost - USA by city'!$A:$A,'Mean order price'!$B8,'Menu and cost - USA by city'!$C:$C,'Mean order price'!I$2)</f>
        <v>2.2857142857142856</v>
      </c>
      <c r="N8" s="75">
        <f>AVERAGEIFS('Menu and cost - USA by city'!$E:$E,'Menu and cost - USA by city'!$A:$A,'Mean order price'!$B8,'Menu and cost - USA by city'!$C:$C,'Mean order price'!J$2)</f>
        <v>3.84</v>
      </c>
      <c r="O8" s="75">
        <f>AVERAGEIFS('Menu and cost - USA by city'!$E:$E,'Menu and cost - USA by city'!$A:$A,'Mean order price'!$B8,'Menu and cost - USA by city'!$C:$C,'Mean order price'!K$2)</f>
        <v>2.6666666666666665</v>
      </c>
      <c r="P8" s="76">
        <f>AVERAGEIFS('Menu and cost - USA by city'!$E:$E,'Menu and cost - USA by city'!$A:$A,'Mean order price'!$B8,'Menu and cost - USA by city'!$C:$C,'Mean order price'!L$2)</f>
        <v>1.7777777777777777</v>
      </c>
      <c r="Q8" s="74">
        <f t="shared" si="1"/>
        <v>0.91428571428571426</v>
      </c>
      <c r="R8" s="75">
        <f t="shared" si="2"/>
        <v>2.3039999999999998</v>
      </c>
      <c r="S8" s="75">
        <f t="shared" si="3"/>
        <v>1.7333333333333334</v>
      </c>
      <c r="T8" s="76">
        <f t="shared" si="4"/>
        <v>1.4222222222222223</v>
      </c>
      <c r="U8" s="73"/>
      <c r="V8" s="82">
        <f t="shared" si="5"/>
        <v>6.3738412698412699</v>
      </c>
    </row>
    <row r="9" spans="2:22">
      <c r="B9" s="53" t="s">
        <v>55</v>
      </c>
      <c r="C9" s="69">
        <f>VLOOKUP(B9,COGS!$B$2:$I$10,2,FALSE)</f>
        <v>9.6199999999999992</v>
      </c>
      <c r="D9" s="69">
        <f>VLOOKUP($B9,COGS!$B$2:$I$10,3,FALSE)</f>
        <v>14.79</v>
      </c>
      <c r="E9" s="69">
        <f>VLOOKUP($B9,COGS!$B$2:$I$10,4,FALSE)</f>
        <v>14.44</v>
      </c>
      <c r="F9" s="69">
        <f>VLOOKUP($B9,COGS!$B$2:$I$10,5,FALSE)</f>
        <v>8.6999999999999993</v>
      </c>
      <c r="G9" s="69">
        <f>VLOOKUP($B9,COGS!$B$2:$I$10,6,FALSE)</f>
        <v>8.0399999999999991</v>
      </c>
      <c r="H9" s="69">
        <f>VLOOKUP($B9,COGS!$B$2:$I$10,8,FALSE)</f>
        <v>10</v>
      </c>
      <c r="I9" s="73">
        <v>0.2</v>
      </c>
      <c r="J9" s="73">
        <v>0.65</v>
      </c>
      <c r="K9" s="73">
        <v>0.45</v>
      </c>
      <c r="L9" s="73">
        <v>0.75</v>
      </c>
      <c r="M9" s="74">
        <f>AVERAGEIFS('Menu and cost - USA by city'!$E:$E,'Menu and cost - USA by city'!$A:$A,'Mean order price'!$B9,'Menu and cost - USA by city'!$C:$C,'Mean order price'!I$2)</f>
        <v>2.8571428571428572</v>
      </c>
      <c r="N9" s="75">
        <f>AVERAGEIFS('Menu and cost - USA by city'!$E:$E,'Menu and cost - USA by city'!$A:$A,'Mean order price'!$B9,'Menu and cost - USA by city'!$C:$C,'Mean order price'!J$2)</f>
        <v>4.8000000000000016</v>
      </c>
      <c r="O9" s="75">
        <f>AVERAGEIFS('Menu and cost - USA by city'!$E:$E,'Menu and cost - USA by city'!$A:$A,'Mean order price'!$B9,'Menu and cost - USA by city'!$C:$C,'Mean order price'!K$2)</f>
        <v>3.3333333333333335</v>
      </c>
      <c r="P9" s="76">
        <f>AVERAGEIFS('Menu and cost - USA by city'!$E:$E,'Menu and cost - USA by city'!$A:$A,'Mean order price'!$B9,'Menu and cost - USA by city'!$C:$C,'Mean order price'!L$2)</f>
        <v>2.2222222222222223</v>
      </c>
      <c r="Q9" s="74">
        <f t="shared" si="1"/>
        <v>0.57142857142857151</v>
      </c>
      <c r="R9" s="75">
        <f t="shared" si="2"/>
        <v>3.120000000000001</v>
      </c>
      <c r="S9" s="75">
        <f t="shared" si="3"/>
        <v>1.5</v>
      </c>
      <c r="T9" s="76">
        <f t="shared" si="4"/>
        <v>1.6666666666666667</v>
      </c>
      <c r="U9" s="73"/>
      <c r="V9" s="82">
        <f t="shared" si="5"/>
        <v>6.8580952380952391</v>
      </c>
    </row>
    <row r="10" spans="2:22">
      <c r="B10" s="53" t="s">
        <v>56</v>
      </c>
      <c r="C10" s="69">
        <f>VLOOKUP(B10,COGS!$B$2:$I$10,2,FALSE)</f>
        <v>9.2899999999999991</v>
      </c>
      <c r="D10" s="69">
        <f>VLOOKUP($B10,COGS!$B$2:$I$10,3,FALSE)</f>
        <v>14.35</v>
      </c>
      <c r="E10" s="69">
        <f>VLOOKUP($B10,COGS!$B$2:$I$10,4,FALSE)</f>
        <v>13.55</v>
      </c>
      <c r="F10" s="69">
        <f>VLOOKUP($B10,COGS!$B$2:$I$10,5,FALSE)</f>
        <v>8.24</v>
      </c>
      <c r="G10" s="69">
        <f>VLOOKUP($B10,COGS!$B$2:$I$10,6,FALSE)</f>
        <v>6.44</v>
      </c>
      <c r="H10" s="69">
        <f>VLOOKUP($B10,COGS!$B$2:$I$10,8,FALSE)</f>
        <v>14</v>
      </c>
      <c r="I10" s="73">
        <v>0.35</v>
      </c>
      <c r="J10" s="73">
        <v>0.8</v>
      </c>
      <c r="K10" s="73">
        <v>0.5</v>
      </c>
      <c r="L10" s="73">
        <v>0.95</v>
      </c>
      <c r="M10" s="78">
        <f>AVERAGEIFS('Menu and cost - USA by city'!$E:$E,'Menu and cost - USA by city'!$A:$A,'Mean order price'!$B10,'Menu and cost - USA by city'!$C:$C,'Mean order price'!I$2)</f>
        <v>4.0000000000000009</v>
      </c>
      <c r="N10" s="79">
        <f>AVERAGEIFS('Menu and cost - USA by city'!$E:$E,'Menu and cost - USA by city'!$A:$A,'Mean order price'!$B10,'Menu and cost - USA by city'!$C:$C,'Mean order price'!J$2)</f>
        <v>6.7200000000000006</v>
      </c>
      <c r="O10" s="79">
        <f>AVERAGEIFS('Menu and cost - USA by city'!$E:$E,'Menu and cost - USA by city'!$A:$A,'Mean order price'!$B10,'Menu and cost - USA by city'!$C:$C,'Mean order price'!K$2)</f>
        <v>4.666666666666667</v>
      </c>
      <c r="P10" s="80">
        <f>AVERAGEIFS('Menu and cost - USA by city'!$E:$E,'Menu and cost - USA by city'!$A:$A,'Mean order price'!$B10,'Menu and cost - USA by city'!$C:$C,'Mean order price'!L$2)</f>
        <v>3.1111111111111112</v>
      </c>
      <c r="Q10" s="78">
        <f t="shared" si="1"/>
        <v>1.4000000000000001</v>
      </c>
      <c r="R10" s="79">
        <f t="shared" si="2"/>
        <v>5.3760000000000012</v>
      </c>
      <c r="S10" s="79">
        <f t="shared" si="3"/>
        <v>2.3333333333333335</v>
      </c>
      <c r="T10" s="80">
        <f t="shared" si="4"/>
        <v>2.9555555555555553</v>
      </c>
      <c r="U10" s="73"/>
      <c r="V10" s="83">
        <f t="shared" si="5"/>
        <v>12.064888888888891</v>
      </c>
    </row>
    <row r="11" spans="2:22">
      <c r="C11" s="62"/>
      <c r="D11" s="62"/>
      <c r="E11" s="62"/>
      <c r="F11" s="62"/>
      <c r="G11" s="62"/>
      <c r="H11" s="62"/>
    </row>
    <row r="12" spans="2:22">
      <c r="B12" s="53" t="s">
        <v>57</v>
      </c>
      <c r="C12" s="62"/>
      <c r="D12" s="62"/>
      <c r="E12" s="62"/>
      <c r="F12" s="62"/>
      <c r="G12" s="62"/>
      <c r="H12" s="62"/>
      <c r="I12" s="73">
        <v>0.25</v>
      </c>
      <c r="J12" s="73">
        <v>0.85</v>
      </c>
      <c r="K12" s="73">
        <v>0.55000000000000004</v>
      </c>
      <c r="L12" s="73">
        <v>0.3</v>
      </c>
      <c r="M12" s="73"/>
      <c r="N12" s="73"/>
      <c r="O12" s="73"/>
      <c r="P12" s="73"/>
      <c r="Q12" s="73"/>
      <c r="R12" s="73"/>
      <c r="S12" s="73"/>
      <c r="T12" s="73"/>
      <c r="U12" s="73"/>
    </row>
  </sheetData>
  <mergeCells count="2">
    <mergeCell ref="M1:P1"/>
    <mergeCell ref="Q1:T1"/>
  </mergeCells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2:X211"/>
  <sheetViews>
    <sheetView zoomScale="80" zoomScaleNormal="80" workbookViewId="0">
      <selection activeCell="A3" sqref="A3"/>
    </sheetView>
  </sheetViews>
  <sheetFormatPr defaultColWidth="10.875" defaultRowHeight="15.75"/>
  <cols>
    <col min="1" max="1" width="10.875" style="53"/>
    <col min="2" max="2" width="4.5" style="54" customWidth="1"/>
    <col min="3" max="3" width="10.875" style="53"/>
    <col min="4" max="4" width="12.125" style="53" customWidth="1"/>
    <col min="5" max="5" width="10.875" style="53"/>
    <col min="6" max="6" width="17.625" style="53" customWidth="1"/>
    <col min="7" max="7" width="10.875" style="53"/>
    <col min="8" max="8" width="15.375" style="53" customWidth="1"/>
    <col min="9" max="9" width="16.125" style="53" customWidth="1"/>
    <col min="10" max="10" width="15" style="53" customWidth="1"/>
    <col min="11" max="13" width="13.875" style="53" customWidth="1"/>
    <col min="14" max="14" width="15" style="53" customWidth="1"/>
    <col min="15" max="15" width="13.875" style="53" customWidth="1"/>
    <col min="16" max="16" width="13.375" style="53" customWidth="1"/>
    <col min="17" max="18" width="13.125" style="55" customWidth="1"/>
    <col min="19" max="19" width="10.875" style="53" customWidth="1"/>
    <col min="20" max="20" width="16" style="53" customWidth="1"/>
    <col min="21" max="21" width="10.875" style="53" customWidth="1"/>
    <col min="22" max="16384" width="10.875" style="53"/>
  </cols>
  <sheetData>
    <row r="2" spans="1:24">
      <c r="G2" s="56"/>
    </row>
    <row r="3" spans="1:24">
      <c r="A3" s="57" t="s">
        <v>62</v>
      </c>
      <c r="B3" s="58" t="s">
        <v>2</v>
      </c>
      <c r="C3" s="57" t="s">
        <v>3</v>
      </c>
      <c r="D3" s="57" t="s">
        <v>4</v>
      </c>
      <c r="E3" s="57" t="s">
        <v>5</v>
      </c>
      <c r="F3" s="57" t="s">
        <v>63</v>
      </c>
      <c r="G3" s="57" t="s">
        <v>7</v>
      </c>
      <c r="H3" s="57" t="s">
        <v>8</v>
      </c>
      <c r="I3" s="57" t="s">
        <v>9</v>
      </c>
      <c r="J3" s="57" t="s">
        <v>10</v>
      </c>
      <c r="K3" s="57" t="s">
        <v>11</v>
      </c>
      <c r="L3" s="57" t="s">
        <v>12</v>
      </c>
      <c r="M3" s="57" t="s">
        <v>13</v>
      </c>
      <c r="N3" s="57" t="s">
        <v>14</v>
      </c>
      <c r="O3" s="57" t="s">
        <v>15</v>
      </c>
      <c r="P3" s="57" t="s">
        <v>16</v>
      </c>
      <c r="Q3" s="63" t="s">
        <v>17</v>
      </c>
      <c r="R3" s="63" t="s">
        <v>64</v>
      </c>
      <c r="S3" s="63" t="s">
        <v>65</v>
      </c>
      <c r="T3" s="63" t="s">
        <v>66</v>
      </c>
      <c r="U3" s="64" t="s">
        <v>67</v>
      </c>
      <c r="V3" s="64" t="s">
        <v>68</v>
      </c>
      <c r="W3" s="64" t="s">
        <v>69</v>
      </c>
      <c r="X3" s="64" t="s">
        <v>70</v>
      </c>
    </row>
    <row r="4" spans="1:24">
      <c r="A4" s="53" t="s">
        <v>49</v>
      </c>
      <c r="B4" s="54">
        <v>1</v>
      </c>
      <c r="C4" s="53" t="s">
        <v>19</v>
      </c>
      <c r="D4" s="53" t="s">
        <v>20</v>
      </c>
      <c r="E4" s="59">
        <f>'Menu and cost - Russia'!E4*(COGS!I3/'Menu and cost - Russia'!$P$2)*0.4</f>
        <v>4</v>
      </c>
      <c r="F4" s="59">
        <f>SUMPRODUCT(H4:L4,'Mean order price'!$C$3:$G$3)*G4+P4*'Mean order price'!$H$3</f>
        <v>2.9272000000000005</v>
      </c>
      <c r="G4" s="53">
        <v>0.2</v>
      </c>
      <c r="H4" s="60">
        <v>0</v>
      </c>
      <c r="I4" s="60">
        <v>0</v>
      </c>
      <c r="J4" s="60">
        <v>0.9</v>
      </c>
      <c r="K4" s="60">
        <v>0</v>
      </c>
      <c r="L4" s="60">
        <v>0.1</v>
      </c>
      <c r="M4" s="60">
        <f>SUM(H4:L4)</f>
        <v>1</v>
      </c>
      <c r="N4" s="61">
        <v>20</v>
      </c>
      <c r="O4" s="62">
        <f>60/N4</f>
        <v>3</v>
      </c>
      <c r="P4" s="62">
        <f>O4/60</f>
        <v>0.05</v>
      </c>
      <c r="Q4" s="65">
        <f>E4-F4</f>
        <v>1.0727999999999995</v>
      </c>
      <c r="R4" s="66">
        <f>Таблица1[[#This Row],[Profit]]/Таблица1[[#This Row],[Price]]</f>
        <v>0.26819999999999988</v>
      </c>
      <c r="S4" s="60">
        <f>VLOOKUP($A4,'Order Composition'!$B$2:$F$10,MATCH($C4,'Order Composition'!$B$2:$F$2,0),0)</f>
        <v>0.3</v>
      </c>
      <c r="T4" s="65">
        <f>S4*Q4</f>
        <v>0.32183999999999985</v>
      </c>
      <c r="U4" s="65">
        <f>Таблица1[[#This Row],[Price]]*Таблица1[[#This Row],[Order]]</f>
        <v>1.2</v>
      </c>
      <c r="V4" s="65">
        <f>Таблица1[[#This Row],[Cost(with labour)]]*Таблица1[[#This Row],[Order]]</f>
        <v>0.87816000000000016</v>
      </c>
      <c r="W4" s="67">
        <f>VLOOKUP($A4,'Mean order price'!$B$2:$H$10,7,0)</f>
        <v>10</v>
      </c>
      <c r="X4" s="68">
        <f>W4*P4</f>
        <v>0.5</v>
      </c>
    </row>
    <row r="5" spans="1:24">
      <c r="A5" s="53" t="s">
        <v>49</v>
      </c>
      <c r="B5" s="54">
        <f>B4+1</f>
        <v>2</v>
      </c>
      <c r="C5" s="53" t="s">
        <v>19</v>
      </c>
      <c r="D5" s="53" t="s">
        <v>21</v>
      </c>
      <c r="E5" s="59">
        <f>VLOOKUP('Menu and cost - USA by city'!D5,'Menu and cost - Russia'!$D$4:$P$29,2,FALSE)*(VLOOKUP('Menu and cost - USA by city'!A5,COGS!$B$3:$I$10,8,FALSE)/3)*0.4</f>
        <v>4</v>
      </c>
      <c r="F5" s="59">
        <f>SUMPRODUCT(H5:L5,'Mean order price'!$C$3:$G$3)*G5+P5*'Mean order price'!$H$3</f>
        <v>2.9792000000000005</v>
      </c>
      <c r="G5" s="53">
        <v>0.2</v>
      </c>
      <c r="H5" s="60">
        <v>0</v>
      </c>
      <c r="I5" s="60">
        <v>0.2</v>
      </c>
      <c r="J5" s="60">
        <v>0.7</v>
      </c>
      <c r="K5" s="60">
        <v>0</v>
      </c>
      <c r="L5" s="60">
        <v>0.1</v>
      </c>
      <c r="M5" s="60">
        <f t="shared" ref="M5:M30" si="0">SUM(H5:L5)</f>
        <v>0.99999999999999989</v>
      </c>
      <c r="N5" s="61">
        <v>20</v>
      </c>
      <c r="O5" s="62">
        <f t="shared" ref="O5:O30" si="1">60/N5</f>
        <v>3</v>
      </c>
      <c r="P5" s="62">
        <f t="shared" ref="P5:P30" si="2">O5/60</f>
        <v>0.05</v>
      </c>
      <c r="Q5" s="65">
        <f t="shared" ref="Q5:Q68" si="3">E5-F5</f>
        <v>1.0207999999999995</v>
      </c>
      <c r="R5" s="66">
        <f>Таблица1[[#This Row],[Profit]]/Таблица1[[#This Row],[Price]]</f>
        <v>0.25519999999999987</v>
      </c>
      <c r="S5" s="60">
        <f>VLOOKUP($A5,'Order Composition'!$B$2:$F$10,MATCH($C5,'Order Composition'!$B$2:$F$2,0),0)</f>
        <v>0.3</v>
      </c>
      <c r="T5" s="65">
        <f t="shared" ref="T5:T68" si="4">S5*Q5</f>
        <v>0.30623999999999985</v>
      </c>
      <c r="U5" s="65">
        <f>Таблица1[[#This Row],[Price]]*Таблица1[[#This Row],[Order]]</f>
        <v>1.2</v>
      </c>
      <c r="V5" s="65">
        <f>Таблица1[[#This Row],[Cost(with labour)]]*Таблица1[[#This Row],[Order]]</f>
        <v>0.89376000000000011</v>
      </c>
      <c r="W5" s="67">
        <f>VLOOKUP($A5,'Mean order price'!$B$2:$H$10,7,0)</f>
        <v>10</v>
      </c>
      <c r="X5" s="68">
        <f t="shared" ref="X5:X67" si="5">W5*P5</f>
        <v>0.5</v>
      </c>
    </row>
    <row r="6" spans="1:24">
      <c r="A6" s="53" t="s">
        <v>49</v>
      </c>
      <c r="B6" s="54">
        <f t="shared" ref="B6:B69" si="6">B5+1</f>
        <v>3</v>
      </c>
      <c r="C6" s="53" t="s">
        <v>19</v>
      </c>
      <c r="D6" s="53" t="s">
        <v>22</v>
      </c>
      <c r="E6" s="59">
        <f>VLOOKUP('Menu and cost - USA by city'!D6,'Menu and cost - Russia'!$D$4:$P$29,2,FALSE)*(VLOOKUP('Menu and cost - USA by city'!A6,COGS!$B$3:$I$10,8,FALSE)/3)*0.4</f>
        <v>4</v>
      </c>
      <c r="F6" s="59">
        <f>SUMPRODUCT(H6:L6,'Mean order price'!$C$3:$G$3)*G6+P6*'Mean order price'!$H$3</f>
        <v>3.0572000000000004</v>
      </c>
      <c r="G6" s="53">
        <v>0.2</v>
      </c>
      <c r="H6" s="60">
        <v>0</v>
      </c>
      <c r="I6" s="60">
        <v>0.5</v>
      </c>
      <c r="J6" s="60">
        <v>0.4</v>
      </c>
      <c r="K6" s="60">
        <v>0</v>
      </c>
      <c r="L6" s="60">
        <v>0.1</v>
      </c>
      <c r="M6" s="60">
        <f t="shared" si="0"/>
        <v>1</v>
      </c>
      <c r="N6" s="61">
        <v>20</v>
      </c>
      <c r="O6" s="62">
        <f t="shared" si="1"/>
        <v>3</v>
      </c>
      <c r="P6" s="62">
        <f t="shared" si="2"/>
        <v>0.05</v>
      </c>
      <c r="Q6" s="65">
        <f t="shared" si="3"/>
        <v>0.94279999999999964</v>
      </c>
      <c r="R6" s="66">
        <f>Таблица1[[#This Row],[Profit]]/Таблица1[[#This Row],[Price]]</f>
        <v>0.23569999999999991</v>
      </c>
      <c r="S6" s="60">
        <f>VLOOKUP($A6,'Order Composition'!$B$2:$F$10,MATCH($C6,'Order Composition'!$B$2:$F$2,0),0)</f>
        <v>0.3</v>
      </c>
      <c r="T6" s="65">
        <f t="shared" si="4"/>
        <v>0.28283999999999987</v>
      </c>
      <c r="U6" s="65">
        <f>Таблица1[[#This Row],[Price]]*Таблица1[[#This Row],[Order]]</f>
        <v>1.2</v>
      </c>
      <c r="V6" s="65">
        <f>Таблица1[[#This Row],[Cost(with labour)]]*Таблица1[[#This Row],[Order]]</f>
        <v>0.91716000000000009</v>
      </c>
      <c r="W6" s="67">
        <f>VLOOKUP($A6,'Mean order price'!$B$2:$H$10,7,0)</f>
        <v>10</v>
      </c>
      <c r="X6" s="68">
        <f t="shared" si="5"/>
        <v>0.5</v>
      </c>
    </row>
    <row r="7" spans="1:24">
      <c r="A7" s="53" t="s">
        <v>49</v>
      </c>
      <c r="B7" s="54">
        <f t="shared" si="6"/>
        <v>4</v>
      </c>
      <c r="C7" s="53" t="s">
        <v>19</v>
      </c>
      <c r="D7" s="53" t="s">
        <v>23</v>
      </c>
      <c r="E7" s="59">
        <f>VLOOKUP('Menu and cost - USA by city'!D7,'Menu and cost - Russia'!$D$4:$P$29,2,FALSE)*(VLOOKUP('Menu and cost - USA by city'!A7,COGS!$B$3:$I$10,8,FALSE)/3)*0.4</f>
        <v>2.666666666666667</v>
      </c>
      <c r="F7" s="59">
        <f>SUMPRODUCT(H7:L7,'Mean order price'!$C$3:$G$3)*G7+P7*'Mean order price'!$H$3</f>
        <v>1.9498666666666669</v>
      </c>
      <c r="G7" s="53">
        <v>0.2</v>
      </c>
      <c r="H7" s="60">
        <v>0.1</v>
      </c>
      <c r="I7" s="60">
        <v>0</v>
      </c>
      <c r="J7" s="60">
        <v>0.4</v>
      </c>
      <c r="K7" s="60">
        <v>0.1</v>
      </c>
      <c r="L7" s="60">
        <v>0.4</v>
      </c>
      <c r="M7" s="60">
        <f t="shared" si="0"/>
        <v>1</v>
      </c>
      <c r="N7" s="61">
        <v>60</v>
      </c>
      <c r="O7" s="62">
        <f t="shared" si="1"/>
        <v>1</v>
      </c>
      <c r="P7" s="62">
        <f t="shared" si="2"/>
        <v>1.6666666666666666E-2</v>
      </c>
      <c r="Q7" s="65">
        <f t="shared" si="3"/>
        <v>0.7168000000000001</v>
      </c>
      <c r="R7" s="66">
        <f>Таблица1[[#This Row],[Profit]]/Таблица1[[#This Row],[Price]]</f>
        <v>0.26879999999999998</v>
      </c>
      <c r="S7" s="60">
        <f>VLOOKUP($A7,'Order Composition'!$B$2:$F$10,MATCH($C7,'Order Composition'!$B$2:$F$2,0),0)</f>
        <v>0.3</v>
      </c>
      <c r="T7" s="65">
        <f t="shared" si="4"/>
        <v>0.21504000000000004</v>
      </c>
      <c r="U7" s="65">
        <f>Таблица1[[#This Row],[Price]]*Таблица1[[#This Row],[Order]]</f>
        <v>0.8</v>
      </c>
      <c r="V7" s="65">
        <f>Таблица1[[#This Row],[Cost(with labour)]]*Таблица1[[#This Row],[Order]]</f>
        <v>0.58496000000000004</v>
      </c>
      <c r="W7" s="67">
        <f>VLOOKUP($A7,'Mean order price'!$B$2:$H$10,7,0)</f>
        <v>10</v>
      </c>
      <c r="X7" s="68">
        <f t="shared" si="5"/>
        <v>0.16666666666666666</v>
      </c>
    </row>
    <row r="8" spans="1:24">
      <c r="A8" s="53" t="s">
        <v>49</v>
      </c>
      <c r="B8" s="54">
        <f t="shared" si="6"/>
        <v>5</v>
      </c>
      <c r="C8" s="53" t="s">
        <v>19</v>
      </c>
      <c r="D8" s="53" t="s">
        <v>24</v>
      </c>
      <c r="E8" s="59">
        <f>VLOOKUP('Menu and cost - USA by city'!D8,'Menu and cost - Russia'!$D$4:$P$29,2,FALSE)*(VLOOKUP('Menu and cost - USA by city'!A8,COGS!$B$3:$I$10,8,FALSE)/3)*0.4</f>
        <v>2.666666666666667</v>
      </c>
      <c r="F8" s="59">
        <f>SUMPRODUCT(H8:L8,'Mean order price'!$C$3:$G$3)*G8+P8*'Mean order price'!$H$3</f>
        <v>2.1406666666666667</v>
      </c>
      <c r="G8" s="53">
        <v>0.2</v>
      </c>
      <c r="H8" s="60">
        <v>0.1</v>
      </c>
      <c r="I8" s="60">
        <v>0.2</v>
      </c>
      <c r="J8" s="60">
        <v>0.3</v>
      </c>
      <c r="K8" s="60">
        <v>0.1</v>
      </c>
      <c r="L8" s="60">
        <v>0.3</v>
      </c>
      <c r="M8" s="60">
        <f t="shared" si="0"/>
        <v>1</v>
      </c>
      <c r="N8" s="61">
        <v>60</v>
      </c>
      <c r="O8" s="62">
        <f t="shared" si="1"/>
        <v>1</v>
      </c>
      <c r="P8" s="62">
        <f t="shared" si="2"/>
        <v>1.6666666666666666E-2</v>
      </c>
      <c r="Q8" s="65">
        <f t="shared" si="3"/>
        <v>0.52600000000000025</v>
      </c>
      <c r="R8" s="66">
        <f>Таблица1[[#This Row],[Profit]]/Таблица1[[#This Row],[Price]]</f>
        <v>0.19725000000000006</v>
      </c>
      <c r="S8" s="60">
        <f>VLOOKUP($A8,'Order Composition'!$B$2:$F$10,MATCH($C8,'Order Composition'!$B$2:$F$2,0),0)</f>
        <v>0.3</v>
      </c>
      <c r="T8" s="65">
        <f t="shared" si="4"/>
        <v>0.15780000000000008</v>
      </c>
      <c r="U8" s="65">
        <f>Таблица1[[#This Row],[Price]]*Таблица1[[#This Row],[Order]]</f>
        <v>0.8</v>
      </c>
      <c r="V8" s="65">
        <f>Таблица1[[#This Row],[Cost(with labour)]]*Таблица1[[#This Row],[Order]]</f>
        <v>0.64219999999999999</v>
      </c>
      <c r="W8" s="67">
        <f>VLOOKUP($A8,'Mean order price'!$B$2:$H$10,7,0)</f>
        <v>10</v>
      </c>
      <c r="X8" s="68">
        <f t="shared" si="5"/>
        <v>0.16666666666666666</v>
      </c>
    </row>
    <row r="9" spans="1:24">
      <c r="A9" s="53" t="s">
        <v>49</v>
      </c>
      <c r="B9" s="54">
        <f t="shared" si="6"/>
        <v>6</v>
      </c>
      <c r="C9" s="53" t="s">
        <v>19</v>
      </c>
      <c r="D9" s="53" t="s">
        <v>25</v>
      </c>
      <c r="E9" s="59">
        <f>VLOOKUP('Menu and cost - USA by city'!D9,'Menu and cost - Russia'!$D$4:$P$29,2,FALSE)*(VLOOKUP('Menu and cost - USA by city'!A9,COGS!$B$3:$I$10,8,FALSE)/3)*0.4</f>
        <v>1.3333333333333335</v>
      </c>
      <c r="F9" s="59">
        <f>SUMPRODUCT(H9:L9,'Mean order price'!$C$3:$G$3)*G9+P9*'Mean order price'!$H$3</f>
        <v>1.4676333333333333</v>
      </c>
      <c r="G9" s="53">
        <v>0.1</v>
      </c>
      <c r="H9" s="60">
        <v>0.1</v>
      </c>
      <c r="I9" s="60">
        <v>0</v>
      </c>
      <c r="J9" s="60">
        <v>0.75</v>
      </c>
      <c r="K9" s="60">
        <v>0.05</v>
      </c>
      <c r="L9" s="60">
        <v>0.1</v>
      </c>
      <c r="M9" s="60">
        <f t="shared" si="0"/>
        <v>1</v>
      </c>
      <c r="N9" s="61">
        <v>30</v>
      </c>
      <c r="O9" s="62">
        <f t="shared" si="1"/>
        <v>2</v>
      </c>
      <c r="P9" s="62">
        <f t="shared" si="2"/>
        <v>3.3333333333333333E-2</v>
      </c>
      <c r="Q9" s="65">
        <f t="shared" si="3"/>
        <v>-0.13429999999999986</v>
      </c>
      <c r="R9" s="66">
        <f>Таблица1[[#This Row],[Profit]]/Таблица1[[#This Row],[Price]]</f>
        <v>-0.10072499999999988</v>
      </c>
      <c r="S9" s="60">
        <f>VLOOKUP($A9,'Order Composition'!$B$2:$F$10,MATCH($C9,'Order Composition'!$B$2:$F$2,0),0)</f>
        <v>0.3</v>
      </c>
      <c r="T9" s="65">
        <f t="shared" si="4"/>
        <v>-4.0289999999999958E-2</v>
      </c>
      <c r="U9" s="65">
        <f>Таблица1[[#This Row],[Price]]*Таблица1[[#This Row],[Order]]</f>
        <v>0.4</v>
      </c>
      <c r="V9" s="65">
        <f>Таблица1[[#This Row],[Cost(with labour)]]*Таблица1[[#This Row],[Order]]</f>
        <v>0.44029000000000001</v>
      </c>
      <c r="W9" s="67">
        <f>VLOOKUP($A9,'Mean order price'!$B$2:$H$10,7,0)</f>
        <v>10</v>
      </c>
      <c r="X9" s="68">
        <f t="shared" si="5"/>
        <v>0.33333333333333331</v>
      </c>
    </row>
    <row r="10" spans="1:24">
      <c r="A10" s="53" t="s">
        <v>49</v>
      </c>
      <c r="B10" s="54">
        <f t="shared" si="6"/>
        <v>7</v>
      </c>
      <c r="C10" s="53" t="s">
        <v>19</v>
      </c>
      <c r="D10" s="53" t="s">
        <v>26</v>
      </c>
      <c r="E10" s="59">
        <f>VLOOKUP('Menu and cost - USA by city'!D10,'Menu and cost - Russia'!$D$4:$P$29,2,FALSE)*(VLOOKUP('Menu and cost - USA by city'!A10,COGS!$B$3:$I$10,8,FALSE)/3)*0.4</f>
        <v>1.3333333333333335</v>
      </c>
      <c r="F10" s="59">
        <f>SUMPRODUCT(H10:L10,'Mean order price'!$C$3:$G$3)*G10+P10*'Mean order price'!$H$3</f>
        <v>1.5326333333333333</v>
      </c>
      <c r="G10" s="53">
        <v>0.1</v>
      </c>
      <c r="H10" s="60">
        <v>0.1</v>
      </c>
      <c r="I10" s="60">
        <v>0.5</v>
      </c>
      <c r="J10" s="60">
        <v>0.25</v>
      </c>
      <c r="K10" s="60">
        <v>0.05</v>
      </c>
      <c r="L10" s="60">
        <v>0.1</v>
      </c>
      <c r="M10" s="60">
        <f t="shared" si="0"/>
        <v>1</v>
      </c>
      <c r="N10" s="61">
        <v>30</v>
      </c>
      <c r="O10" s="62">
        <f t="shared" si="1"/>
        <v>2</v>
      </c>
      <c r="P10" s="62">
        <f t="shared" si="2"/>
        <v>3.3333333333333333E-2</v>
      </c>
      <c r="Q10" s="65">
        <f t="shared" si="3"/>
        <v>-0.19929999999999981</v>
      </c>
      <c r="R10" s="66">
        <f>Таблица1[[#This Row],[Profit]]/Таблица1[[#This Row],[Price]]</f>
        <v>-0.14947499999999983</v>
      </c>
      <c r="S10" s="60">
        <f>VLOOKUP($A10,'Order Composition'!$B$2:$F$10,MATCH($C10,'Order Composition'!$B$2:$F$2,0),0)</f>
        <v>0.3</v>
      </c>
      <c r="T10" s="65">
        <f t="shared" si="4"/>
        <v>-5.978999999999994E-2</v>
      </c>
      <c r="U10" s="65">
        <f>Таблица1[[#This Row],[Price]]*Таблица1[[#This Row],[Order]]</f>
        <v>0.4</v>
      </c>
      <c r="V10" s="65">
        <f>Таблица1[[#This Row],[Cost(with labour)]]*Таблица1[[#This Row],[Order]]</f>
        <v>0.45978999999999998</v>
      </c>
      <c r="W10" s="67">
        <f>VLOOKUP($A10,'Mean order price'!$B$2:$H$10,7,0)</f>
        <v>10</v>
      </c>
      <c r="X10" s="68">
        <f t="shared" si="5"/>
        <v>0.33333333333333331</v>
      </c>
    </row>
    <row r="11" spans="1:24">
      <c r="A11" s="53" t="s">
        <v>49</v>
      </c>
      <c r="B11" s="54">
        <f t="shared" si="6"/>
        <v>8</v>
      </c>
      <c r="C11" s="53" t="s">
        <v>27</v>
      </c>
      <c r="D11" s="53" t="s">
        <v>28</v>
      </c>
      <c r="E11" s="59">
        <f>VLOOKUP('Menu and cost - USA by city'!D11,'Menu and cost - Russia'!$D$4:$P$29,2,FALSE)*(VLOOKUP('Menu and cost - USA by city'!A11,COGS!$B$3:$I$10,8,FALSE)/3)*0.4</f>
        <v>4</v>
      </c>
      <c r="F11" s="59">
        <f>SUMPRODUCT(H11:L11,'Mean order price'!$C$3:$G$3)*G11+P11*'Mean order price'!$H$3</f>
        <v>2.9352666666666667</v>
      </c>
      <c r="G11" s="53">
        <v>0.2</v>
      </c>
      <c r="H11" s="60">
        <v>0.1</v>
      </c>
      <c r="I11" s="60">
        <v>0</v>
      </c>
      <c r="J11" s="60">
        <v>0.75</v>
      </c>
      <c r="K11" s="60">
        <v>0.05</v>
      </c>
      <c r="L11" s="60">
        <v>0.1</v>
      </c>
      <c r="M11" s="60">
        <f t="shared" si="0"/>
        <v>1</v>
      </c>
      <c r="N11" s="61">
        <v>15</v>
      </c>
      <c r="O11" s="62">
        <f t="shared" si="1"/>
        <v>4</v>
      </c>
      <c r="P11" s="62">
        <f t="shared" si="2"/>
        <v>6.6666666666666666E-2</v>
      </c>
      <c r="Q11" s="65">
        <f t="shared" si="3"/>
        <v>1.0647333333333333</v>
      </c>
      <c r="R11" s="66">
        <f>Таблица1[[#This Row],[Profit]]/Таблица1[[#This Row],[Price]]</f>
        <v>0.26618333333333333</v>
      </c>
      <c r="S11" s="60">
        <f>VLOOKUP($A11,'Order Composition'!$B$2:$F$10,MATCH($C11,'Order Composition'!$B$2:$F$2,0),0)</f>
        <v>0.55000000000000004</v>
      </c>
      <c r="T11" s="65">
        <f t="shared" si="4"/>
        <v>0.58560333333333336</v>
      </c>
      <c r="U11" s="65">
        <f>Таблица1[[#This Row],[Price]]*Таблица1[[#This Row],[Order]]</f>
        <v>2.2000000000000002</v>
      </c>
      <c r="V11" s="65">
        <f>Таблица1[[#This Row],[Cost(with labour)]]*Таблица1[[#This Row],[Order]]</f>
        <v>1.6143966666666667</v>
      </c>
      <c r="W11" s="67">
        <f>VLOOKUP($A11,'Mean order price'!$B$2:$H$10,7,0)</f>
        <v>10</v>
      </c>
      <c r="X11" s="68">
        <f t="shared" si="5"/>
        <v>0.66666666666666663</v>
      </c>
    </row>
    <row r="12" spans="1:24">
      <c r="A12" s="53" t="s">
        <v>49</v>
      </c>
      <c r="B12" s="54">
        <f t="shared" si="6"/>
        <v>9</v>
      </c>
      <c r="C12" s="53" t="s">
        <v>27</v>
      </c>
      <c r="D12" s="53" t="s">
        <v>29</v>
      </c>
      <c r="E12" s="59">
        <f>VLOOKUP('Menu and cost - USA by city'!D12,'Menu and cost - Russia'!$D$4:$P$29,2,FALSE)*(VLOOKUP('Menu and cost - USA by city'!A12,COGS!$B$3:$I$10,8,FALSE)/3)*0.4</f>
        <v>4</v>
      </c>
      <c r="F12" s="59">
        <f>SUMPRODUCT(H12:L12,'Mean order price'!$C$3:$G$3)*G12+P12*'Mean order price'!$H$3</f>
        <v>3.8007666666666666</v>
      </c>
      <c r="G12" s="53">
        <v>0.3</v>
      </c>
      <c r="H12" s="60">
        <v>0.3</v>
      </c>
      <c r="I12" s="60">
        <v>0</v>
      </c>
      <c r="J12" s="60">
        <v>0.55000000000000004</v>
      </c>
      <c r="K12" s="60">
        <v>0.05</v>
      </c>
      <c r="L12" s="60">
        <v>0.1</v>
      </c>
      <c r="M12" s="60">
        <f t="shared" si="0"/>
        <v>1.0000000000000002</v>
      </c>
      <c r="N12" s="61">
        <v>15</v>
      </c>
      <c r="O12" s="62">
        <f t="shared" si="1"/>
        <v>4</v>
      </c>
      <c r="P12" s="62">
        <f t="shared" si="2"/>
        <v>6.6666666666666666E-2</v>
      </c>
      <c r="Q12" s="65">
        <f t="shared" si="3"/>
        <v>0.19923333333333337</v>
      </c>
      <c r="R12" s="66">
        <f>Таблица1[[#This Row],[Profit]]/Таблица1[[#This Row],[Price]]</f>
        <v>4.9808333333333343E-2</v>
      </c>
      <c r="S12" s="60">
        <f>VLOOKUP($A12,'Order Composition'!$B$2:$F$10,MATCH($C12,'Order Composition'!$B$2:$F$2,0),0)</f>
        <v>0.55000000000000004</v>
      </c>
      <c r="T12" s="65">
        <f t="shared" si="4"/>
        <v>0.10957833333333336</v>
      </c>
      <c r="U12" s="65">
        <f>Таблица1[[#This Row],[Price]]*Таблица1[[#This Row],[Order]]</f>
        <v>2.2000000000000002</v>
      </c>
      <c r="V12" s="65">
        <f>Таблица1[[#This Row],[Cost(with labour)]]*Таблица1[[#This Row],[Order]]</f>
        <v>2.0904216666666668</v>
      </c>
      <c r="W12" s="67">
        <f>VLOOKUP($A12,'Mean order price'!$B$2:$H$10,7,0)</f>
        <v>10</v>
      </c>
      <c r="X12" s="68">
        <f t="shared" si="5"/>
        <v>0.66666666666666663</v>
      </c>
    </row>
    <row r="13" spans="1:24">
      <c r="A13" s="53" t="s">
        <v>49</v>
      </c>
      <c r="B13" s="54">
        <f t="shared" si="6"/>
        <v>10</v>
      </c>
      <c r="C13" s="53" t="s">
        <v>27</v>
      </c>
      <c r="D13" s="53" t="s">
        <v>30</v>
      </c>
      <c r="E13" s="59">
        <f>VLOOKUP('Menu and cost - USA by city'!D13,'Menu and cost - Russia'!$D$4:$P$29,2,FALSE)*(VLOOKUP('Menu and cost - USA by city'!A13,COGS!$B$3:$I$10,8,FALSE)/3)*0.4</f>
        <v>4</v>
      </c>
      <c r="F13" s="59">
        <f>SUMPRODUCT(H13:L13,'Mean order price'!$C$3:$G$3)*G13+P13*'Mean order price'!$H$3</f>
        <v>4.167066666666666</v>
      </c>
      <c r="G13" s="53">
        <v>0.3</v>
      </c>
      <c r="H13" s="60">
        <v>0.1</v>
      </c>
      <c r="I13" s="60">
        <v>0.25</v>
      </c>
      <c r="J13" s="60">
        <v>0.5</v>
      </c>
      <c r="K13" s="60">
        <v>0.05</v>
      </c>
      <c r="L13" s="60">
        <v>0.1</v>
      </c>
      <c r="M13" s="60">
        <f t="shared" si="0"/>
        <v>1</v>
      </c>
      <c r="N13" s="61">
        <v>15</v>
      </c>
      <c r="O13" s="62">
        <f t="shared" si="1"/>
        <v>4</v>
      </c>
      <c r="P13" s="62">
        <f t="shared" si="2"/>
        <v>6.6666666666666666E-2</v>
      </c>
      <c r="Q13" s="65">
        <f t="shared" si="3"/>
        <v>-0.16706666666666603</v>
      </c>
      <c r="R13" s="66">
        <f>Таблица1[[#This Row],[Profit]]/Таблица1[[#This Row],[Price]]</f>
        <v>-4.1766666666666508E-2</v>
      </c>
      <c r="S13" s="60">
        <f>VLOOKUP($A13,'Order Composition'!$B$2:$F$10,MATCH($C13,'Order Composition'!$B$2:$F$2,0),0)</f>
        <v>0.55000000000000004</v>
      </c>
      <c r="T13" s="65">
        <f t="shared" si="4"/>
        <v>-9.1886666666666325E-2</v>
      </c>
      <c r="U13" s="65">
        <f>Таблица1[[#This Row],[Price]]*Таблица1[[#This Row],[Order]]</f>
        <v>2.2000000000000002</v>
      </c>
      <c r="V13" s="65">
        <f>Таблица1[[#This Row],[Cost(with labour)]]*Таблица1[[#This Row],[Order]]</f>
        <v>2.2918866666666666</v>
      </c>
      <c r="W13" s="67">
        <f>VLOOKUP($A13,'Mean order price'!$B$2:$H$10,7,0)</f>
        <v>10</v>
      </c>
      <c r="X13" s="68">
        <f t="shared" si="5"/>
        <v>0.66666666666666663</v>
      </c>
    </row>
    <row r="14" spans="1:24">
      <c r="A14" s="53" t="s">
        <v>49</v>
      </c>
      <c r="B14" s="54">
        <f t="shared" si="6"/>
        <v>11</v>
      </c>
      <c r="C14" s="53" t="s">
        <v>27</v>
      </c>
      <c r="D14" s="53" t="s">
        <v>31</v>
      </c>
      <c r="E14" s="59">
        <f>VLOOKUP('Menu and cost - USA by city'!D14,'Menu and cost - Russia'!$D$4:$P$29,2,FALSE)*(VLOOKUP('Menu and cost - USA by city'!A14,COGS!$B$3:$I$10,8,FALSE)/3)*0.4</f>
        <v>4</v>
      </c>
      <c r="F14" s="59">
        <f>SUMPRODUCT(H14:L14,'Mean order price'!$C$3:$G$3)*G14+P14*'Mean order price'!$H$3</f>
        <v>3.2830000000000004</v>
      </c>
      <c r="G14" s="53">
        <v>0.2</v>
      </c>
      <c r="H14" s="60">
        <v>0.2</v>
      </c>
      <c r="I14" s="60">
        <v>0.4</v>
      </c>
      <c r="J14" s="60">
        <v>0.25</v>
      </c>
      <c r="K14" s="60">
        <v>0.05</v>
      </c>
      <c r="L14" s="60">
        <v>0.1</v>
      </c>
      <c r="M14" s="60">
        <f t="shared" si="0"/>
        <v>1.0000000000000002</v>
      </c>
      <c r="N14" s="61">
        <v>10</v>
      </c>
      <c r="O14" s="62">
        <f t="shared" si="1"/>
        <v>6</v>
      </c>
      <c r="P14" s="62">
        <f t="shared" si="2"/>
        <v>0.1</v>
      </c>
      <c r="Q14" s="65">
        <f t="shared" si="3"/>
        <v>0.71699999999999964</v>
      </c>
      <c r="R14" s="66">
        <f>Таблица1[[#This Row],[Profit]]/Таблица1[[#This Row],[Price]]</f>
        <v>0.17924999999999991</v>
      </c>
      <c r="S14" s="60">
        <f>VLOOKUP($A14,'Order Composition'!$B$2:$F$10,MATCH($C14,'Order Composition'!$B$2:$F$2,0),0)</f>
        <v>0.55000000000000004</v>
      </c>
      <c r="T14" s="65">
        <f t="shared" si="4"/>
        <v>0.39434999999999981</v>
      </c>
      <c r="U14" s="65">
        <f>Таблица1[[#This Row],[Price]]*Таблица1[[#This Row],[Order]]</f>
        <v>2.2000000000000002</v>
      </c>
      <c r="V14" s="65">
        <f>Таблица1[[#This Row],[Cost(with labour)]]*Таблица1[[#This Row],[Order]]</f>
        <v>1.8056500000000004</v>
      </c>
      <c r="W14" s="67">
        <f>VLOOKUP($A14,'Mean order price'!$B$2:$H$10,7,0)</f>
        <v>10</v>
      </c>
      <c r="X14" s="68">
        <f t="shared" si="5"/>
        <v>1</v>
      </c>
    </row>
    <row r="15" spans="1:24">
      <c r="A15" s="53" t="s">
        <v>49</v>
      </c>
      <c r="B15" s="54">
        <f t="shared" si="6"/>
        <v>12</v>
      </c>
      <c r="C15" s="53" t="s">
        <v>27</v>
      </c>
      <c r="D15" s="53" t="s">
        <v>32</v>
      </c>
      <c r="E15" s="59">
        <f>VLOOKUP('Menu and cost - USA by city'!D15,'Menu and cost - Russia'!$D$4:$P$29,2,FALSE)*(VLOOKUP('Menu and cost - USA by city'!A15,COGS!$B$3:$I$10,8,FALSE)/3)*0.4</f>
        <v>5.3333333333333339</v>
      </c>
      <c r="F15" s="59">
        <f>SUMPRODUCT(H15:L15,'Mean order price'!$C$3:$G$3)*G15+P15*'Mean order price'!$H$3</f>
        <v>4.5024999999999995</v>
      </c>
      <c r="G15" s="53">
        <v>0.3</v>
      </c>
      <c r="H15" s="60">
        <v>0.2</v>
      </c>
      <c r="I15" s="60">
        <v>0.6</v>
      </c>
      <c r="J15" s="60">
        <v>0.05</v>
      </c>
      <c r="K15" s="60">
        <v>0.05</v>
      </c>
      <c r="L15" s="60">
        <v>0.1</v>
      </c>
      <c r="M15" s="60">
        <f t="shared" si="0"/>
        <v>1.0000000000000002</v>
      </c>
      <c r="N15" s="61">
        <v>10</v>
      </c>
      <c r="O15" s="62">
        <f t="shared" si="1"/>
        <v>6</v>
      </c>
      <c r="P15" s="62">
        <f t="shared" si="2"/>
        <v>0.1</v>
      </c>
      <c r="Q15" s="65">
        <f t="shared" si="3"/>
        <v>0.83083333333333442</v>
      </c>
      <c r="R15" s="66">
        <f>Таблица1[[#This Row],[Profit]]/Таблица1[[#This Row],[Price]]</f>
        <v>0.15578125000000018</v>
      </c>
      <c r="S15" s="60">
        <f>VLOOKUP($A15,'Order Composition'!$B$2:$F$10,MATCH($C15,'Order Composition'!$B$2:$F$2,0),0)</f>
        <v>0.55000000000000004</v>
      </c>
      <c r="T15" s="65">
        <f t="shared" si="4"/>
        <v>0.45695833333333397</v>
      </c>
      <c r="U15" s="65">
        <f>Таблица1[[#This Row],[Price]]*Таблица1[[#This Row],[Order]]</f>
        <v>2.933333333333334</v>
      </c>
      <c r="V15" s="65">
        <f>Таблица1[[#This Row],[Cost(with labour)]]*Таблица1[[#This Row],[Order]]</f>
        <v>2.476375</v>
      </c>
      <c r="W15" s="67">
        <f>VLOOKUP($A15,'Mean order price'!$B$2:$H$10,7,0)</f>
        <v>10</v>
      </c>
      <c r="X15" s="68">
        <f t="shared" si="5"/>
        <v>1</v>
      </c>
    </row>
    <row r="16" spans="1:24">
      <c r="A16" s="53" t="s">
        <v>49</v>
      </c>
      <c r="B16" s="54">
        <f t="shared" si="6"/>
        <v>13</v>
      </c>
      <c r="C16" s="53" t="s">
        <v>27</v>
      </c>
      <c r="D16" s="53" t="s">
        <v>33</v>
      </c>
      <c r="E16" s="59">
        <f>VLOOKUP('Menu and cost - USA by city'!D16,'Menu and cost - Russia'!$D$4:$P$29,2,FALSE)*(VLOOKUP('Menu and cost - USA by city'!A16,COGS!$B$3:$I$10,8,FALSE)/3)*0.4</f>
        <v>5.3333333333333339</v>
      </c>
      <c r="F16" s="59">
        <f>SUMPRODUCT(H16:L16,'Mean order price'!$C$3:$G$3)*G16+P16*'Mean order price'!$H$3</f>
        <v>4.4634999999999998</v>
      </c>
      <c r="G16" s="53">
        <v>0.3</v>
      </c>
      <c r="H16" s="60">
        <v>0.2</v>
      </c>
      <c r="I16" s="60">
        <v>0.5</v>
      </c>
      <c r="J16" s="60">
        <v>0.15</v>
      </c>
      <c r="K16" s="60">
        <v>0.05</v>
      </c>
      <c r="L16" s="60">
        <v>0.1</v>
      </c>
      <c r="M16" s="60">
        <f t="shared" si="0"/>
        <v>1</v>
      </c>
      <c r="N16" s="61">
        <v>10</v>
      </c>
      <c r="O16" s="62">
        <f t="shared" si="1"/>
        <v>6</v>
      </c>
      <c r="P16" s="62">
        <f t="shared" si="2"/>
        <v>0.1</v>
      </c>
      <c r="Q16" s="65">
        <f t="shared" si="3"/>
        <v>0.86983333333333412</v>
      </c>
      <c r="R16" s="66">
        <f>Таблица1[[#This Row],[Profit]]/Таблица1[[#This Row],[Price]]</f>
        <v>0.16309375000000012</v>
      </c>
      <c r="S16" s="60">
        <f>VLOOKUP($A16,'Order Composition'!$B$2:$F$10,MATCH($C16,'Order Composition'!$B$2:$F$2,0),0)</f>
        <v>0.55000000000000004</v>
      </c>
      <c r="T16" s="65">
        <f t="shared" si="4"/>
        <v>0.47840833333333382</v>
      </c>
      <c r="U16" s="65">
        <f>Таблица1[[#This Row],[Price]]*Таблица1[[#This Row],[Order]]</f>
        <v>2.933333333333334</v>
      </c>
      <c r="V16" s="65">
        <f>Таблица1[[#This Row],[Cost(with labour)]]*Таблица1[[#This Row],[Order]]</f>
        <v>2.4549250000000002</v>
      </c>
      <c r="W16" s="67">
        <f>VLOOKUP($A16,'Mean order price'!$B$2:$H$10,7,0)</f>
        <v>10</v>
      </c>
      <c r="X16" s="68">
        <f t="shared" si="5"/>
        <v>1</v>
      </c>
    </row>
    <row r="17" spans="1:24">
      <c r="A17" s="53" t="s">
        <v>49</v>
      </c>
      <c r="B17" s="54">
        <f t="shared" si="6"/>
        <v>14</v>
      </c>
      <c r="C17" s="53" t="s">
        <v>27</v>
      </c>
      <c r="D17" s="53" t="s">
        <v>34</v>
      </c>
      <c r="E17" s="59">
        <f>VLOOKUP('Menu and cost - USA by city'!D17,'Menu and cost - Russia'!$D$4:$P$29,2,FALSE)*(VLOOKUP('Menu and cost - USA by city'!A17,COGS!$B$3:$I$10,8,FALSE)/3)*0.4</f>
        <v>4</v>
      </c>
      <c r="F17" s="59">
        <f>SUMPRODUCT(H17:L17,'Mean order price'!$C$3:$G$3)*G17+P17*'Mean order price'!$H$3</f>
        <v>2.9352666666666667</v>
      </c>
      <c r="G17" s="53">
        <v>0.2</v>
      </c>
      <c r="H17" s="60">
        <v>0.1</v>
      </c>
      <c r="I17" s="60">
        <v>0</v>
      </c>
      <c r="J17" s="60">
        <v>0.75</v>
      </c>
      <c r="K17" s="60">
        <v>0.05</v>
      </c>
      <c r="L17" s="60">
        <v>0.1</v>
      </c>
      <c r="M17" s="60">
        <f t="shared" si="0"/>
        <v>1</v>
      </c>
      <c r="N17" s="61">
        <v>15</v>
      </c>
      <c r="O17" s="62">
        <f t="shared" si="1"/>
        <v>4</v>
      </c>
      <c r="P17" s="62">
        <f t="shared" si="2"/>
        <v>6.6666666666666666E-2</v>
      </c>
      <c r="Q17" s="65">
        <f t="shared" si="3"/>
        <v>1.0647333333333333</v>
      </c>
      <c r="R17" s="66">
        <f>Таблица1[[#This Row],[Profit]]/Таблица1[[#This Row],[Price]]</f>
        <v>0.26618333333333333</v>
      </c>
      <c r="S17" s="60">
        <f>VLOOKUP($A17,'Order Composition'!$B$2:$F$10,MATCH($C17,'Order Composition'!$B$2:$F$2,0),0)</f>
        <v>0.55000000000000004</v>
      </c>
      <c r="T17" s="65">
        <f t="shared" si="4"/>
        <v>0.58560333333333336</v>
      </c>
      <c r="U17" s="65">
        <f>Таблица1[[#This Row],[Price]]*Таблица1[[#This Row],[Order]]</f>
        <v>2.2000000000000002</v>
      </c>
      <c r="V17" s="65">
        <f>Таблица1[[#This Row],[Cost(with labour)]]*Таблица1[[#This Row],[Order]]</f>
        <v>1.6143966666666667</v>
      </c>
      <c r="W17" s="67">
        <f>VLOOKUP($A17,'Mean order price'!$B$2:$H$10,7,0)</f>
        <v>10</v>
      </c>
      <c r="X17" s="68">
        <f t="shared" si="5"/>
        <v>0.66666666666666663</v>
      </c>
    </row>
    <row r="18" spans="1:24">
      <c r="A18" s="53" t="s">
        <v>49</v>
      </c>
      <c r="B18" s="54">
        <f t="shared" si="6"/>
        <v>15</v>
      </c>
      <c r="C18" s="53" t="s">
        <v>27</v>
      </c>
      <c r="D18" s="53" t="s">
        <v>35</v>
      </c>
      <c r="E18" s="59">
        <f>VLOOKUP('Menu and cost - USA by city'!D18,'Menu and cost - Russia'!$D$4:$P$29,2,FALSE)*(VLOOKUP('Menu and cost - USA by city'!A18,COGS!$B$3:$I$10,8,FALSE)/3)*0.4</f>
        <v>4</v>
      </c>
      <c r="F18" s="59">
        <f>SUMPRODUCT(H18:L18,'Mean order price'!$C$3:$G$3)*G18+P18*'Mean order price'!$H$3</f>
        <v>2.8456666666666668</v>
      </c>
      <c r="G18" s="53">
        <v>0.2</v>
      </c>
      <c r="H18" s="60">
        <v>0.2</v>
      </c>
      <c r="I18" s="60">
        <v>0</v>
      </c>
      <c r="J18" s="60">
        <v>0.65</v>
      </c>
      <c r="K18" s="60">
        <v>0.05</v>
      </c>
      <c r="L18" s="60">
        <v>0.1</v>
      </c>
      <c r="M18" s="60">
        <f t="shared" si="0"/>
        <v>1.0000000000000002</v>
      </c>
      <c r="N18" s="61">
        <v>15</v>
      </c>
      <c r="O18" s="62">
        <f t="shared" si="1"/>
        <v>4</v>
      </c>
      <c r="P18" s="62">
        <f t="shared" si="2"/>
        <v>6.6666666666666666E-2</v>
      </c>
      <c r="Q18" s="65">
        <f t="shared" si="3"/>
        <v>1.1543333333333332</v>
      </c>
      <c r="R18" s="66">
        <f>Таблица1[[#This Row],[Profit]]/Таблица1[[#This Row],[Price]]</f>
        <v>0.2885833333333333</v>
      </c>
      <c r="S18" s="60">
        <f>VLOOKUP($A18,'Order Composition'!$B$2:$F$10,MATCH($C18,'Order Composition'!$B$2:$F$2,0),0)</f>
        <v>0.55000000000000004</v>
      </c>
      <c r="T18" s="65">
        <f t="shared" si="4"/>
        <v>0.63488333333333336</v>
      </c>
      <c r="U18" s="65">
        <f>Таблица1[[#This Row],[Price]]*Таблица1[[#This Row],[Order]]</f>
        <v>2.2000000000000002</v>
      </c>
      <c r="V18" s="65">
        <f>Таблица1[[#This Row],[Cost(with labour)]]*Таблица1[[#This Row],[Order]]</f>
        <v>1.5651166666666669</v>
      </c>
      <c r="W18" s="67">
        <f>VLOOKUP($A18,'Mean order price'!$B$2:$H$10,7,0)</f>
        <v>10</v>
      </c>
      <c r="X18" s="68">
        <f t="shared" si="5"/>
        <v>0.66666666666666663</v>
      </c>
    </row>
    <row r="19" spans="1:24">
      <c r="A19" s="53" t="s">
        <v>49</v>
      </c>
      <c r="B19" s="54">
        <f t="shared" si="6"/>
        <v>16</v>
      </c>
      <c r="C19" s="53" t="s">
        <v>27</v>
      </c>
      <c r="D19" s="53" t="s">
        <v>36</v>
      </c>
      <c r="E19" s="59">
        <f>VLOOKUP('Menu and cost - USA by city'!D19,'Menu and cost - Russia'!$D$4:$P$29,2,FALSE)*(VLOOKUP('Menu and cost - USA by city'!A19,COGS!$B$3:$I$10,8,FALSE)/3)*0.4</f>
        <v>6.6666666666666679</v>
      </c>
      <c r="F19" s="59">
        <f>SUMPRODUCT(H19:L19,'Mean order price'!$C$3:$G$3)*G19+P19*'Mean order price'!$H$3</f>
        <v>4.4193999999999996</v>
      </c>
      <c r="G19" s="53">
        <v>0.3</v>
      </c>
      <c r="H19" s="60">
        <v>0</v>
      </c>
      <c r="I19" s="60">
        <v>0.5</v>
      </c>
      <c r="J19" s="60">
        <v>0.2</v>
      </c>
      <c r="K19" s="60">
        <v>0</v>
      </c>
      <c r="L19" s="60">
        <v>0.3</v>
      </c>
      <c r="M19" s="60">
        <f t="shared" si="0"/>
        <v>1</v>
      </c>
      <c r="N19" s="61">
        <v>10</v>
      </c>
      <c r="O19" s="62">
        <f t="shared" si="1"/>
        <v>6</v>
      </c>
      <c r="P19" s="62">
        <f t="shared" si="2"/>
        <v>0.1</v>
      </c>
      <c r="Q19" s="65">
        <f t="shared" si="3"/>
        <v>2.2472666666666683</v>
      </c>
      <c r="R19" s="66">
        <f>Таблица1[[#This Row],[Profit]]/Таблица1[[#This Row],[Price]]</f>
        <v>0.33709000000000017</v>
      </c>
      <c r="S19" s="60">
        <f>VLOOKUP($A19,'Order Composition'!$B$2:$F$10,MATCH($C19,'Order Composition'!$B$2:$F$2,0),0)</f>
        <v>0.55000000000000004</v>
      </c>
      <c r="T19" s="65">
        <f t="shared" si="4"/>
        <v>1.2359966666666677</v>
      </c>
      <c r="U19" s="65">
        <f>Таблица1[[#This Row],[Price]]*Таблица1[[#This Row],[Order]]</f>
        <v>3.6666666666666674</v>
      </c>
      <c r="V19" s="65">
        <f>Таблица1[[#This Row],[Cost(with labour)]]*Таблица1[[#This Row],[Order]]</f>
        <v>2.4306700000000001</v>
      </c>
      <c r="W19" s="67">
        <f>VLOOKUP($A19,'Mean order price'!$B$2:$H$10,7,0)</f>
        <v>10</v>
      </c>
      <c r="X19" s="68">
        <f t="shared" si="5"/>
        <v>1</v>
      </c>
    </row>
    <row r="20" spans="1:24">
      <c r="A20" s="53" t="s">
        <v>49</v>
      </c>
      <c r="B20" s="54">
        <f t="shared" si="6"/>
        <v>17</v>
      </c>
      <c r="C20" s="53" t="s">
        <v>27</v>
      </c>
      <c r="D20" s="53" t="s">
        <v>37</v>
      </c>
      <c r="E20" s="59">
        <f>VLOOKUP('Menu and cost - USA by city'!D20,'Menu and cost - Russia'!$D$4:$P$29,2,FALSE)*(VLOOKUP('Menu and cost - USA by city'!A20,COGS!$B$3:$I$10,8,FALSE)/3)*0.4</f>
        <v>6.6666666666666679</v>
      </c>
      <c r="F20" s="59">
        <f>SUMPRODUCT(H20:L20,'Mean order price'!$C$3:$G$3)*G20+P20*'Mean order price'!$H$3</f>
        <v>4.4931999999999999</v>
      </c>
      <c r="G20" s="53">
        <v>0.3</v>
      </c>
      <c r="H20" s="60">
        <v>0.1</v>
      </c>
      <c r="I20" s="60">
        <v>0.5</v>
      </c>
      <c r="J20" s="60">
        <v>0.2</v>
      </c>
      <c r="K20" s="60">
        <v>0</v>
      </c>
      <c r="L20" s="60">
        <v>0.2</v>
      </c>
      <c r="M20" s="60">
        <f t="shared" si="0"/>
        <v>1</v>
      </c>
      <c r="N20" s="61">
        <v>10</v>
      </c>
      <c r="O20" s="62">
        <f t="shared" si="1"/>
        <v>6</v>
      </c>
      <c r="P20" s="62">
        <f t="shared" si="2"/>
        <v>0.1</v>
      </c>
      <c r="Q20" s="65">
        <f t="shared" si="3"/>
        <v>2.173466666666668</v>
      </c>
      <c r="R20" s="66">
        <f>Таблица1[[#This Row],[Profit]]/Таблица1[[#This Row],[Price]]</f>
        <v>0.32602000000000014</v>
      </c>
      <c r="S20" s="60">
        <f>VLOOKUP($A20,'Order Composition'!$B$2:$F$10,MATCH($C20,'Order Composition'!$B$2:$F$2,0),0)</f>
        <v>0.55000000000000004</v>
      </c>
      <c r="T20" s="65">
        <f t="shared" si="4"/>
        <v>1.1954066666666674</v>
      </c>
      <c r="U20" s="65">
        <f>Таблица1[[#This Row],[Price]]*Таблица1[[#This Row],[Order]]</f>
        <v>3.6666666666666674</v>
      </c>
      <c r="V20" s="65">
        <f>Таблица1[[#This Row],[Cost(with labour)]]*Таблица1[[#This Row],[Order]]</f>
        <v>2.47126</v>
      </c>
      <c r="W20" s="67">
        <f>VLOOKUP($A20,'Mean order price'!$B$2:$H$10,7,0)</f>
        <v>10</v>
      </c>
      <c r="X20" s="68">
        <f t="shared" si="5"/>
        <v>1</v>
      </c>
    </row>
    <row r="21" spans="1:24">
      <c r="A21" s="53" t="s">
        <v>49</v>
      </c>
      <c r="B21" s="54">
        <f t="shared" si="6"/>
        <v>18</v>
      </c>
      <c r="C21" s="53" t="s">
        <v>38</v>
      </c>
      <c r="D21" s="53" t="s">
        <v>39</v>
      </c>
      <c r="E21" s="59">
        <f>VLOOKUP('Menu and cost - USA by city'!D21,'Menu and cost - Russia'!$D$4:$P$29,2,FALSE)*(VLOOKUP('Menu and cost - USA by city'!A21,COGS!$B$3:$I$10,8,FALSE)/3)*0.4</f>
        <v>4</v>
      </c>
      <c r="F21" s="59">
        <f>SUMPRODUCT(H21:L21,'Mean order price'!$C$3:$G$3)*G21+P21*'Mean order price'!$H$3</f>
        <v>1.9778</v>
      </c>
      <c r="G21" s="53">
        <v>0.15</v>
      </c>
      <c r="H21" s="60">
        <v>0.2</v>
      </c>
      <c r="I21" s="60">
        <v>0</v>
      </c>
      <c r="J21" s="60">
        <v>0.5</v>
      </c>
      <c r="K21" s="60">
        <v>0</v>
      </c>
      <c r="L21" s="60">
        <v>0.3</v>
      </c>
      <c r="M21" s="60">
        <f t="shared" si="0"/>
        <v>1</v>
      </c>
      <c r="N21" s="61">
        <v>20</v>
      </c>
      <c r="O21" s="62">
        <f t="shared" si="1"/>
        <v>3</v>
      </c>
      <c r="P21" s="62">
        <f t="shared" si="2"/>
        <v>0.05</v>
      </c>
      <c r="Q21" s="65">
        <f t="shared" si="3"/>
        <v>2.0221999999999998</v>
      </c>
      <c r="R21" s="66">
        <f>Таблица1[[#This Row],[Profit]]/Таблица1[[#This Row],[Price]]</f>
        <v>0.50554999999999994</v>
      </c>
      <c r="S21" s="60">
        <f>VLOOKUP($A21,'Order Composition'!$B$2:$F$10,MATCH($C21,'Order Composition'!$B$2:$F$2,0),0)</f>
        <v>0.35</v>
      </c>
      <c r="T21" s="65">
        <f t="shared" si="4"/>
        <v>0.7077699999999999</v>
      </c>
      <c r="U21" s="65">
        <f>Таблица1[[#This Row],[Price]]*Таблица1[[#This Row],[Order]]</f>
        <v>1.4</v>
      </c>
      <c r="V21" s="65">
        <f>Таблица1[[#This Row],[Cost(with labour)]]*Таблица1[[#This Row],[Order]]</f>
        <v>0.69223000000000001</v>
      </c>
      <c r="W21" s="67">
        <f>VLOOKUP($A21,'Mean order price'!$B$2:$H$10,7,0)</f>
        <v>10</v>
      </c>
      <c r="X21" s="68">
        <f t="shared" si="5"/>
        <v>0.5</v>
      </c>
    </row>
    <row r="22" spans="1:24">
      <c r="A22" s="53" t="s">
        <v>49</v>
      </c>
      <c r="B22" s="54">
        <f t="shared" si="6"/>
        <v>19</v>
      </c>
      <c r="C22" s="53" t="s">
        <v>38</v>
      </c>
      <c r="D22" s="53" t="s">
        <v>40</v>
      </c>
      <c r="E22" s="59">
        <f>VLOOKUP('Menu and cost - USA by city'!D22,'Menu and cost - Russia'!$D$4:$P$29,2,FALSE)*(VLOOKUP('Menu and cost - USA by city'!A22,COGS!$B$3:$I$10,8,FALSE)/3)*0.4</f>
        <v>4</v>
      </c>
      <c r="F22" s="59">
        <f>SUMPRODUCT(H22:L22,'Mean order price'!$C$3:$G$3)*G22+P22*'Mean order price'!$H$3</f>
        <v>1.9778</v>
      </c>
      <c r="G22" s="53">
        <v>0.15</v>
      </c>
      <c r="H22" s="60">
        <v>0.2</v>
      </c>
      <c r="I22" s="60">
        <v>0</v>
      </c>
      <c r="J22" s="60">
        <v>0.5</v>
      </c>
      <c r="K22" s="60">
        <v>0</v>
      </c>
      <c r="L22" s="60">
        <v>0.3</v>
      </c>
      <c r="M22" s="60">
        <f t="shared" si="0"/>
        <v>1</v>
      </c>
      <c r="N22" s="61">
        <v>20</v>
      </c>
      <c r="O22" s="62">
        <f t="shared" si="1"/>
        <v>3</v>
      </c>
      <c r="P22" s="62">
        <f t="shared" si="2"/>
        <v>0.05</v>
      </c>
      <c r="Q22" s="65">
        <f t="shared" si="3"/>
        <v>2.0221999999999998</v>
      </c>
      <c r="R22" s="66">
        <f>Таблица1[[#This Row],[Profit]]/Таблица1[[#This Row],[Price]]</f>
        <v>0.50554999999999994</v>
      </c>
      <c r="S22" s="60">
        <f>VLOOKUP($A22,'Order Composition'!$B$2:$F$10,MATCH($C22,'Order Composition'!$B$2:$F$2,0),0)</f>
        <v>0.35</v>
      </c>
      <c r="T22" s="65">
        <f t="shared" si="4"/>
        <v>0.7077699999999999</v>
      </c>
      <c r="U22" s="65">
        <f>Таблица1[[#This Row],[Price]]*Таблица1[[#This Row],[Order]]</f>
        <v>1.4</v>
      </c>
      <c r="V22" s="65">
        <f>Таблица1[[#This Row],[Cost(with labour)]]*Таблица1[[#This Row],[Order]]</f>
        <v>0.69223000000000001</v>
      </c>
      <c r="W22" s="67">
        <f>VLOOKUP($A22,'Mean order price'!$B$2:$H$10,7,0)</f>
        <v>10</v>
      </c>
      <c r="X22" s="68">
        <f t="shared" si="5"/>
        <v>0.5</v>
      </c>
    </row>
    <row r="23" spans="1:24">
      <c r="A23" s="53" t="s">
        <v>49</v>
      </c>
      <c r="B23" s="54">
        <f t="shared" si="6"/>
        <v>20</v>
      </c>
      <c r="C23" s="53" t="s">
        <v>38</v>
      </c>
      <c r="D23" s="53" t="s">
        <v>41</v>
      </c>
      <c r="E23" s="59">
        <f>VLOOKUP('Menu and cost - USA by city'!D23,'Menu and cost - Russia'!$D$4:$P$29,2,FALSE)*(VLOOKUP('Menu and cost - USA by city'!A23,COGS!$B$3:$I$10,8,FALSE)/3)*0.4</f>
        <v>2</v>
      </c>
      <c r="F23" s="59">
        <f>SUMPRODUCT(H23:L23,'Mean order price'!$C$3:$G$3)*G23+P23*'Mean order price'!$H$3</f>
        <v>1.1518666666666668</v>
      </c>
      <c r="G23" s="53">
        <v>0.1</v>
      </c>
      <c r="H23" s="60">
        <v>0.2</v>
      </c>
      <c r="I23" s="60">
        <v>0</v>
      </c>
      <c r="J23" s="60">
        <v>0.5</v>
      </c>
      <c r="K23" s="60">
        <v>0</v>
      </c>
      <c r="L23" s="60">
        <v>0.3</v>
      </c>
      <c r="M23" s="60">
        <f t="shared" si="0"/>
        <v>1</v>
      </c>
      <c r="N23" s="61">
        <v>60</v>
      </c>
      <c r="O23" s="62">
        <f t="shared" si="1"/>
        <v>1</v>
      </c>
      <c r="P23" s="62">
        <f t="shared" si="2"/>
        <v>1.6666666666666666E-2</v>
      </c>
      <c r="Q23" s="65">
        <f t="shared" si="3"/>
        <v>0.84813333333333318</v>
      </c>
      <c r="R23" s="66">
        <f>Таблица1[[#This Row],[Profit]]/Таблица1[[#This Row],[Price]]</f>
        <v>0.42406666666666659</v>
      </c>
      <c r="S23" s="60">
        <f>VLOOKUP($A23,'Order Composition'!$B$2:$F$10,MATCH($C23,'Order Composition'!$B$2:$F$2,0),0)</f>
        <v>0.35</v>
      </c>
      <c r="T23" s="65">
        <f t="shared" si="4"/>
        <v>0.29684666666666659</v>
      </c>
      <c r="U23" s="65">
        <f>Таблица1[[#This Row],[Price]]*Таблица1[[#This Row],[Order]]</f>
        <v>0.7</v>
      </c>
      <c r="V23" s="65">
        <f>Таблица1[[#This Row],[Cost(with labour)]]*Таблица1[[#This Row],[Order]]</f>
        <v>0.40315333333333336</v>
      </c>
      <c r="W23" s="67">
        <f>VLOOKUP($A23,'Mean order price'!$B$2:$H$10,7,0)</f>
        <v>10</v>
      </c>
      <c r="X23" s="68">
        <f t="shared" si="5"/>
        <v>0.16666666666666666</v>
      </c>
    </row>
    <row r="24" spans="1:24">
      <c r="A24" s="53" t="s">
        <v>49</v>
      </c>
      <c r="B24" s="54">
        <f t="shared" si="6"/>
        <v>21</v>
      </c>
      <c r="C24" s="53" t="s">
        <v>11</v>
      </c>
      <c r="D24" s="53" t="s">
        <v>42</v>
      </c>
      <c r="E24" s="59">
        <f>VLOOKUP('Menu and cost - USA by city'!D24,'Menu and cost - Russia'!$D$4:$P$29,2,FALSE)*(VLOOKUP('Menu and cost - USA by city'!A24,COGS!$B$3:$I$10,8,FALSE)/3)*0.4</f>
        <v>2</v>
      </c>
      <c r="F24" s="59">
        <f>SUMPRODUCT(H24:L24,'Mean order price'!$C$3:$G$3)*G24+P24*'Mean order price'!$H$3</f>
        <v>1.2693333333333332</v>
      </c>
      <c r="G24" s="53">
        <v>0.2</v>
      </c>
      <c r="H24" s="60">
        <v>0</v>
      </c>
      <c r="I24" s="60">
        <v>0</v>
      </c>
      <c r="J24" s="60">
        <v>0</v>
      </c>
      <c r="K24" s="60">
        <v>1</v>
      </c>
      <c r="L24" s="60">
        <v>0</v>
      </c>
      <c r="M24" s="60">
        <f t="shared" si="0"/>
        <v>1</v>
      </c>
      <c r="N24" s="61">
        <v>120</v>
      </c>
      <c r="O24" s="62">
        <f t="shared" si="1"/>
        <v>0.5</v>
      </c>
      <c r="P24" s="62">
        <f t="shared" si="2"/>
        <v>8.3333333333333332E-3</v>
      </c>
      <c r="Q24" s="65">
        <f t="shared" si="3"/>
        <v>0.7306666666666668</v>
      </c>
      <c r="R24" s="66">
        <f>Таблица1[[#This Row],[Profit]]/Таблица1[[#This Row],[Price]]</f>
        <v>0.3653333333333334</v>
      </c>
      <c r="S24" s="60">
        <f>VLOOKUP($A24,'Order Composition'!$B$2:$F$10,MATCH($C24,'Order Composition'!$B$2:$F$2,0),0)</f>
        <v>0.8</v>
      </c>
      <c r="T24" s="65">
        <f t="shared" si="4"/>
        <v>0.58453333333333346</v>
      </c>
      <c r="U24" s="65">
        <f>Таблица1[[#This Row],[Price]]*Таблица1[[#This Row],[Order]]</f>
        <v>1.6</v>
      </c>
      <c r="V24" s="65">
        <f>Таблица1[[#This Row],[Cost(with labour)]]*Таблица1[[#This Row],[Order]]</f>
        <v>1.0154666666666665</v>
      </c>
      <c r="W24" s="67">
        <f>VLOOKUP($A24,'Mean order price'!$B$2:$H$10,7,0)</f>
        <v>10</v>
      </c>
      <c r="X24" s="68">
        <f t="shared" si="5"/>
        <v>8.3333333333333329E-2</v>
      </c>
    </row>
    <row r="25" spans="1:24">
      <c r="A25" s="53" t="s">
        <v>49</v>
      </c>
      <c r="B25" s="54">
        <f t="shared" si="6"/>
        <v>22</v>
      </c>
      <c r="C25" s="53" t="s">
        <v>11</v>
      </c>
      <c r="D25" s="53" t="s">
        <v>43</v>
      </c>
      <c r="E25" s="59">
        <f>VLOOKUP('Menu and cost - USA by city'!D25,'Menu and cost - Russia'!$D$4:$P$29,2,FALSE)*(VLOOKUP('Menu and cost - USA by city'!A25,COGS!$B$3:$I$10,8,FALSE)/3)*0.4</f>
        <v>2</v>
      </c>
      <c r="F25" s="59">
        <f>SUMPRODUCT(H25:L25,'Mean order price'!$C$3:$G$3)*G25+P25*'Mean order price'!$H$3</f>
        <v>1.2693333333333332</v>
      </c>
      <c r="G25" s="53">
        <v>0.2</v>
      </c>
      <c r="H25" s="60">
        <v>0</v>
      </c>
      <c r="I25" s="60">
        <v>0</v>
      </c>
      <c r="J25" s="60">
        <v>0</v>
      </c>
      <c r="K25" s="60">
        <v>1</v>
      </c>
      <c r="L25" s="60">
        <v>0</v>
      </c>
      <c r="M25" s="60">
        <f t="shared" si="0"/>
        <v>1</v>
      </c>
      <c r="N25" s="61">
        <v>120</v>
      </c>
      <c r="O25" s="62">
        <f t="shared" si="1"/>
        <v>0.5</v>
      </c>
      <c r="P25" s="62">
        <f t="shared" si="2"/>
        <v>8.3333333333333332E-3</v>
      </c>
      <c r="Q25" s="65">
        <f t="shared" si="3"/>
        <v>0.7306666666666668</v>
      </c>
      <c r="R25" s="66">
        <f>Таблица1[[#This Row],[Profit]]/Таблица1[[#This Row],[Price]]</f>
        <v>0.3653333333333334</v>
      </c>
      <c r="S25" s="60">
        <f>VLOOKUP($A25,'Order Composition'!$B$2:$F$10,MATCH($C25,'Order Composition'!$B$2:$F$2,0),0)</f>
        <v>0.8</v>
      </c>
      <c r="T25" s="65">
        <f t="shared" si="4"/>
        <v>0.58453333333333346</v>
      </c>
      <c r="U25" s="65">
        <f>Таблица1[[#This Row],[Price]]*Таблица1[[#This Row],[Order]]</f>
        <v>1.6</v>
      </c>
      <c r="V25" s="65">
        <f>Таблица1[[#This Row],[Cost(with labour)]]*Таблица1[[#This Row],[Order]]</f>
        <v>1.0154666666666665</v>
      </c>
      <c r="W25" s="67">
        <f>VLOOKUP($A25,'Mean order price'!$B$2:$H$10,7,0)</f>
        <v>10</v>
      </c>
      <c r="X25" s="68">
        <f t="shared" si="5"/>
        <v>8.3333333333333329E-2</v>
      </c>
    </row>
    <row r="26" spans="1:24">
      <c r="A26" s="53" t="s">
        <v>49</v>
      </c>
      <c r="B26" s="54">
        <f t="shared" si="6"/>
        <v>23</v>
      </c>
      <c r="C26" s="53" t="s">
        <v>11</v>
      </c>
      <c r="D26" s="53" t="s">
        <v>44</v>
      </c>
      <c r="E26" s="59">
        <f>VLOOKUP('Menu and cost - USA by city'!D26,'Menu and cost - Russia'!$D$4:$P$29,2,FALSE)*(VLOOKUP('Menu and cost - USA by city'!A26,COGS!$B$3:$I$10,8,FALSE)/3)*0.4</f>
        <v>2.666666666666667</v>
      </c>
      <c r="F26" s="59">
        <f>SUMPRODUCT(H26:L26,'Mean order price'!$C$3:$G$3)*G26+P26*'Mean order price'!$H$3</f>
        <v>1.6286666666666669</v>
      </c>
      <c r="G26" s="53">
        <v>0.2</v>
      </c>
      <c r="H26" s="60">
        <v>0</v>
      </c>
      <c r="I26" s="60">
        <v>0</v>
      </c>
      <c r="J26" s="60">
        <v>0.2</v>
      </c>
      <c r="K26" s="60">
        <v>0.8</v>
      </c>
      <c r="L26" s="60">
        <v>0</v>
      </c>
      <c r="M26" s="60">
        <f t="shared" si="0"/>
        <v>1</v>
      </c>
      <c r="N26" s="61">
        <v>60</v>
      </c>
      <c r="O26" s="62">
        <f t="shared" si="1"/>
        <v>1</v>
      </c>
      <c r="P26" s="62">
        <f t="shared" si="2"/>
        <v>1.6666666666666666E-2</v>
      </c>
      <c r="Q26" s="65">
        <f t="shared" si="3"/>
        <v>1.038</v>
      </c>
      <c r="R26" s="66">
        <f>Таблица1[[#This Row],[Profit]]/Таблица1[[#This Row],[Price]]</f>
        <v>0.38924999999999998</v>
      </c>
      <c r="S26" s="60">
        <f>VLOOKUP($A26,'Order Composition'!$B$2:$F$10,MATCH($C26,'Order Composition'!$B$2:$F$2,0),0)</f>
        <v>0.8</v>
      </c>
      <c r="T26" s="65">
        <f t="shared" si="4"/>
        <v>0.83040000000000003</v>
      </c>
      <c r="U26" s="65">
        <f>Таблица1[[#This Row],[Price]]*Таблица1[[#This Row],[Order]]</f>
        <v>2.1333333333333337</v>
      </c>
      <c r="V26" s="65">
        <f>Таблица1[[#This Row],[Cost(with labour)]]*Таблица1[[#This Row],[Order]]</f>
        <v>1.3029333333333337</v>
      </c>
      <c r="W26" s="67">
        <f>VLOOKUP($A26,'Mean order price'!$B$2:$H$10,7,0)</f>
        <v>10</v>
      </c>
      <c r="X26" s="68">
        <f t="shared" si="5"/>
        <v>0.16666666666666666</v>
      </c>
    </row>
    <row r="27" spans="1:24">
      <c r="A27" s="53" t="s">
        <v>49</v>
      </c>
      <c r="B27" s="54">
        <f t="shared" si="6"/>
        <v>24</v>
      </c>
      <c r="C27" s="53" t="s">
        <v>11</v>
      </c>
      <c r="D27" s="53" t="s">
        <v>45</v>
      </c>
      <c r="E27" s="59">
        <f>VLOOKUP('Menu and cost - USA by city'!D27,'Menu and cost - Russia'!$D$4:$P$29,2,FALSE)*(VLOOKUP('Menu and cost - USA by city'!A27,COGS!$B$3:$I$10,8,FALSE)/3)*0.4</f>
        <v>2.666666666666667</v>
      </c>
      <c r="F27" s="59">
        <f>SUMPRODUCT(H27:L27,'Mean order price'!$C$3:$G$3)*G27+P27*'Mean order price'!$H$3</f>
        <v>1.6286666666666669</v>
      </c>
      <c r="G27" s="53">
        <v>0.2</v>
      </c>
      <c r="H27" s="60">
        <v>0</v>
      </c>
      <c r="I27" s="60">
        <v>0</v>
      </c>
      <c r="J27" s="60">
        <v>0.2</v>
      </c>
      <c r="K27" s="60">
        <v>0.8</v>
      </c>
      <c r="L27" s="60">
        <v>0</v>
      </c>
      <c r="M27" s="60">
        <f t="shared" si="0"/>
        <v>1</v>
      </c>
      <c r="N27" s="61">
        <v>60</v>
      </c>
      <c r="O27" s="62">
        <f t="shared" si="1"/>
        <v>1</v>
      </c>
      <c r="P27" s="62">
        <f t="shared" si="2"/>
        <v>1.6666666666666666E-2</v>
      </c>
      <c r="Q27" s="65">
        <f t="shared" si="3"/>
        <v>1.038</v>
      </c>
      <c r="R27" s="66">
        <f>Таблица1[[#This Row],[Profit]]/Таблица1[[#This Row],[Price]]</f>
        <v>0.38924999999999998</v>
      </c>
      <c r="S27" s="60">
        <f>VLOOKUP($A27,'Order Composition'!$B$2:$F$10,MATCH($C27,'Order Composition'!$B$2:$F$2,0),0)</f>
        <v>0.8</v>
      </c>
      <c r="T27" s="65">
        <f t="shared" si="4"/>
        <v>0.83040000000000003</v>
      </c>
      <c r="U27" s="65">
        <f>Таблица1[[#This Row],[Price]]*Таблица1[[#This Row],[Order]]</f>
        <v>2.1333333333333337</v>
      </c>
      <c r="V27" s="65">
        <f>Таблица1[[#This Row],[Cost(with labour)]]*Таблица1[[#This Row],[Order]]</f>
        <v>1.3029333333333337</v>
      </c>
      <c r="W27" s="67">
        <f>VLOOKUP($A27,'Mean order price'!$B$2:$H$10,7,0)</f>
        <v>10</v>
      </c>
      <c r="X27" s="68">
        <f t="shared" si="5"/>
        <v>0.16666666666666666</v>
      </c>
    </row>
    <row r="28" spans="1:24">
      <c r="A28" s="53" t="s">
        <v>49</v>
      </c>
      <c r="B28" s="54">
        <f t="shared" si="6"/>
        <v>25</v>
      </c>
      <c r="C28" s="53" t="s">
        <v>11</v>
      </c>
      <c r="D28" s="53" t="s">
        <v>46</v>
      </c>
      <c r="E28" s="59">
        <f>VLOOKUP('Menu and cost - USA by city'!D28,'Menu and cost - Russia'!$D$4:$P$29,2,FALSE)*(VLOOKUP('Menu and cost - USA by city'!A28,COGS!$B$3:$I$10,8,FALSE)/3)*0.4</f>
        <v>2</v>
      </c>
      <c r="F28" s="59">
        <f>SUMPRODUCT(H28:L28,'Mean order price'!$C$3:$G$3)*G28+P28*'Mean order price'!$H$3</f>
        <v>1.4359999999999999</v>
      </c>
      <c r="G28" s="53">
        <v>0.2</v>
      </c>
      <c r="H28" s="60">
        <v>0</v>
      </c>
      <c r="I28" s="60">
        <v>0</v>
      </c>
      <c r="J28" s="60">
        <v>0</v>
      </c>
      <c r="K28" s="60">
        <v>1</v>
      </c>
      <c r="L28" s="60">
        <v>0</v>
      </c>
      <c r="M28" s="60">
        <f t="shared" si="0"/>
        <v>1</v>
      </c>
      <c r="N28" s="61">
        <v>40</v>
      </c>
      <c r="O28" s="62">
        <f t="shared" si="1"/>
        <v>1.5</v>
      </c>
      <c r="P28" s="62">
        <f t="shared" si="2"/>
        <v>2.5000000000000001E-2</v>
      </c>
      <c r="Q28" s="65">
        <f t="shared" si="3"/>
        <v>0.56400000000000006</v>
      </c>
      <c r="R28" s="66">
        <f>Таблица1[[#This Row],[Profit]]/Таблица1[[#This Row],[Price]]</f>
        <v>0.28200000000000003</v>
      </c>
      <c r="S28" s="60">
        <f>VLOOKUP($A28,'Order Composition'!$B$2:$F$10,MATCH($C28,'Order Composition'!$B$2:$F$2,0),0)</f>
        <v>0.8</v>
      </c>
      <c r="T28" s="65">
        <f t="shared" si="4"/>
        <v>0.45120000000000005</v>
      </c>
      <c r="U28" s="65">
        <f>Таблица1[[#This Row],[Price]]*Таблица1[[#This Row],[Order]]</f>
        <v>1.6</v>
      </c>
      <c r="V28" s="65">
        <f>Таблица1[[#This Row],[Cost(with labour)]]*Таблица1[[#This Row],[Order]]</f>
        <v>1.1488</v>
      </c>
      <c r="W28" s="67">
        <f>VLOOKUP($A28,'Mean order price'!$B$2:$H$10,7,0)</f>
        <v>10</v>
      </c>
      <c r="X28" s="68">
        <f t="shared" si="5"/>
        <v>0.25</v>
      </c>
    </row>
    <row r="29" spans="1:24">
      <c r="A29" s="53" t="s">
        <v>49</v>
      </c>
      <c r="B29" s="54">
        <f t="shared" si="6"/>
        <v>26</v>
      </c>
      <c r="C29" s="53" t="s">
        <v>11</v>
      </c>
      <c r="D29" s="53" t="s">
        <v>47</v>
      </c>
      <c r="E29" s="59">
        <f>VLOOKUP('Menu and cost - USA by city'!D29,'Menu and cost - Russia'!$D$4:$P$29,2,FALSE)*(VLOOKUP('Menu and cost - USA by city'!A29,COGS!$B$3:$I$10,8,FALSE)/3)*0.4</f>
        <v>2</v>
      </c>
      <c r="F29" s="59">
        <f>SUMPRODUCT(H29:L29,'Mean order price'!$C$3:$G$3)*G29+P29*'Mean order price'!$H$3</f>
        <v>1.5740000000000001</v>
      </c>
      <c r="G29" s="53">
        <v>0.2</v>
      </c>
      <c r="H29" s="60">
        <v>0</v>
      </c>
      <c r="I29" s="60">
        <v>0</v>
      </c>
      <c r="J29" s="60">
        <v>0.1</v>
      </c>
      <c r="K29" s="60">
        <v>0.9</v>
      </c>
      <c r="L29" s="60">
        <v>0</v>
      </c>
      <c r="M29" s="60">
        <f t="shared" si="0"/>
        <v>1</v>
      </c>
      <c r="N29" s="61">
        <v>40</v>
      </c>
      <c r="O29" s="62">
        <f t="shared" si="1"/>
        <v>1.5</v>
      </c>
      <c r="P29" s="62">
        <f t="shared" si="2"/>
        <v>2.5000000000000001E-2</v>
      </c>
      <c r="Q29" s="65">
        <f t="shared" si="3"/>
        <v>0.42599999999999993</v>
      </c>
      <c r="R29" s="66">
        <f>Таблица1[[#This Row],[Profit]]/Таблица1[[#This Row],[Price]]</f>
        <v>0.21299999999999997</v>
      </c>
      <c r="S29" s="60">
        <f>VLOOKUP($A29,'Order Composition'!$B$2:$F$10,MATCH($C29,'Order Composition'!$B$2:$F$2,0),0)</f>
        <v>0.8</v>
      </c>
      <c r="T29" s="65">
        <f t="shared" si="4"/>
        <v>0.34079999999999999</v>
      </c>
      <c r="U29" s="65">
        <f>Таблица1[[#This Row],[Price]]*Таблица1[[#This Row],[Order]]</f>
        <v>1.6</v>
      </c>
      <c r="V29" s="65">
        <f>Таблица1[[#This Row],[Cost(with labour)]]*Таблица1[[#This Row],[Order]]</f>
        <v>1.2592000000000001</v>
      </c>
      <c r="W29" s="67">
        <f>VLOOKUP($A29,'Mean order price'!$B$2:$H$10,7,0)</f>
        <v>10</v>
      </c>
      <c r="X29" s="68">
        <f t="shared" si="5"/>
        <v>0.25</v>
      </c>
    </row>
    <row r="30" spans="1:24">
      <c r="A30" s="53" t="s">
        <v>50</v>
      </c>
      <c r="B30" s="54">
        <f t="shared" si="6"/>
        <v>27</v>
      </c>
      <c r="C30" s="53" t="s">
        <v>19</v>
      </c>
      <c r="D30" s="53" t="s">
        <v>20</v>
      </c>
      <c r="E30" s="59">
        <f>VLOOKUP('Menu and cost - USA by city'!D30,'Menu and cost - Russia'!$D$4:$P$29,2,FALSE)*(VLOOKUP('Menu and cost - USA by city'!A30,COGS!$B$3:$I$10,8,FALSE)/3)*0.4</f>
        <v>4.2</v>
      </c>
      <c r="F30" s="59">
        <f>SUMPRODUCT(H30:L30,'Mean order price'!$C$4:$G$4)*G30+P30*'Mean order price'!$H$4</f>
        <v>2.673</v>
      </c>
      <c r="G30" s="53">
        <v>0.2</v>
      </c>
      <c r="H30" s="60">
        <v>0</v>
      </c>
      <c r="I30" s="60">
        <v>0</v>
      </c>
      <c r="J30" s="60">
        <v>0.9</v>
      </c>
      <c r="K30" s="60">
        <v>0</v>
      </c>
      <c r="L30" s="60">
        <v>0.1</v>
      </c>
      <c r="M30" s="60">
        <f t="shared" si="0"/>
        <v>1</v>
      </c>
      <c r="N30" s="61">
        <v>20</v>
      </c>
      <c r="O30" s="62">
        <f t="shared" si="1"/>
        <v>3</v>
      </c>
      <c r="P30" s="62">
        <f t="shared" si="2"/>
        <v>0.05</v>
      </c>
      <c r="Q30" s="65">
        <f t="shared" si="3"/>
        <v>1.5270000000000001</v>
      </c>
      <c r="R30" s="66">
        <f>Таблица1[[#This Row],[Profit]]/Таблица1[[#This Row],[Price]]</f>
        <v>0.3635714285714286</v>
      </c>
      <c r="S30" s="60">
        <f>VLOOKUP($A30,'Order Composition'!$B$2:$F$10,MATCH($C30,'Order Composition'!$B$2:$F$2,0),0)</f>
        <v>0.55000000000000004</v>
      </c>
      <c r="T30" s="65">
        <f t="shared" si="4"/>
        <v>0.8398500000000001</v>
      </c>
      <c r="U30" s="65">
        <f>Таблица1[[#This Row],[Price]]*Таблица1[[#This Row],[Order]]</f>
        <v>2.3100000000000005</v>
      </c>
      <c r="V30" s="65">
        <f>Таблица1[[#This Row],[Cost(with labour)]]*Таблица1[[#This Row],[Order]]</f>
        <v>1.4701500000000001</v>
      </c>
      <c r="W30" s="67">
        <f>VLOOKUP($A30,'Mean order price'!$B$2:$H$10,7,0)</f>
        <v>10.5</v>
      </c>
      <c r="X30" s="68">
        <f t="shared" si="5"/>
        <v>0.52500000000000002</v>
      </c>
    </row>
    <row r="31" spans="1:24">
      <c r="A31" s="53" t="s">
        <v>50</v>
      </c>
      <c r="B31" s="54">
        <f t="shared" si="6"/>
        <v>28</v>
      </c>
      <c r="C31" s="53" t="s">
        <v>19</v>
      </c>
      <c r="D31" s="53" t="s">
        <v>21</v>
      </c>
      <c r="E31" s="59">
        <f>VLOOKUP('Menu and cost - USA by city'!D31,'Menu and cost - Russia'!$D$4:$P$29,2,FALSE)*(VLOOKUP('Menu and cost - USA by city'!A31,COGS!$B$3:$I$10,8,FALSE)/3)*0.4</f>
        <v>4.2</v>
      </c>
      <c r="F31" s="59">
        <f>SUMPRODUCT(H31:L31,'Mean order price'!$C$4:$G$4)*G31+P31*'Mean order price'!$H$4</f>
        <v>2.7618</v>
      </c>
      <c r="G31" s="53">
        <v>0.2</v>
      </c>
      <c r="H31" s="60">
        <v>0</v>
      </c>
      <c r="I31" s="60">
        <v>0.2</v>
      </c>
      <c r="J31" s="60">
        <v>0.7</v>
      </c>
      <c r="K31" s="60">
        <v>0</v>
      </c>
      <c r="L31" s="60">
        <v>0.1</v>
      </c>
      <c r="M31" s="60">
        <f t="shared" ref="M31:M56" si="7">SUM(H31:L31)</f>
        <v>0.99999999999999989</v>
      </c>
      <c r="N31" s="61">
        <v>20</v>
      </c>
      <c r="O31" s="62">
        <f t="shared" ref="O31:O56" si="8">60/N31</f>
        <v>3</v>
      </c>
      <c r="P31" s="62">
        <f t="shared" ref="P31:P56" si="9">O31/60</f>
        <v>0.05</v>
      </c>
      <c r="Q31" s="65">
        <f t="shared" si="3"/>
        <v>1.4382000000000001</v>
      </c>
      <c r="R31" s="66">
        <f>Таблица1[[#This Row],[Profit]]/Таблица1[[#This Row],[Price]]</f>
        <v>0.34242857142857147</v>
      </c>
      <c r="S31" s="60">
        <f>VLOOKUP($A31,'Order Composition'!$B$2:$F$10,MATCH($C31,'Order Composition'!$B$2:$F$2,0),0)</f>
        <v>0.55000000000000004</v>
      </c>
      <c r="T31" s="65">
        <f t="shared" si="4"/>
        <v>0.7910100000000001</v>
      </c>
      <c r="U31" s="65">
        <f>Таблица1[[#This Row],[Price]]*Таблица1[[#This Row],[Order]]</f>
        <v>2.3100000000000005</v>
      </c>
      <c r="V31" s="65">
        <f>Таблица1[[#This Row],[Cost(with labour)]]*Таблица1[[#This Row],[Order]]</f>
        <v>1.5189900000000001</v>
      </c>
      <c r="W31" s="67">
        <f>VLOOKUP($A31,'Mean order price'!$B$2:$H$10,7,0)</f>
        <v>10.5</v>
      </c>
      <c r="X31" s="68">
        <f t="shared" si="5"/>
        <v>0.52500000000000002</v>
      </c>
    </row>
    <row r="32" spans="1:24">
      <c r="A32" s="53" t="s">
        <v>50</v>
      </c>
      <c r="B32" s="54">
        <f t="shared" si="6"/>
        <v>29</v>
      </c>
      <c r="C32" s="53" t="s">
        <v>19</v>
      </c>
      <c r="D32" s="53" t="s">
        <v>22</v>
      </c>
      <c r="E32" s="59">
        <f>VLOOKUP('Menu and cost - USA by city'!D32,'Menu and cost - Russia'!$D$4:$P$29,2,FALSE)*(VLOOKUP('Menu and cost - USA by city'!A32,COGS!$B$3:$I$10,8,FALSE)/3)*0.4</f>
        <v>4.2</v>
      </c>
      <c r="F32" s="59">
        <f>SUMPRODUCT(H32:L32,'Mean order price'!$C$4:$G$4)*G32+P32*'Mean order price'!$H$4</f>
        <v>2.8950000000000005</v>
      </c>
      <c r="G32" s="53">
        <v>0.2</v>
      </c>
      <c r="H32" s="60">
        <v>0</v>
      </c>
      <c r="I32" s="60">
        <v>0.5</v>
      </c>
      <c r="J32" s="60">
        <v>0.4</v>
      </c>
      <c r="K32" s="60">
        <v>0</v>
      </c>
      <c r="L32" s="60">
        <v>0.1</v>
      </c>
      <c r="M32" s="60">
        <f t="shared" si="7"/>
        <v>1</v>
      </c>
      <c r="N32" s="61">
        <v>20</v>
      </c>
      <c r="O32" s="62">
        <f t="shared" si="8"/>
        <v>3</v>
      </c>
      <c r="P32" s="62">
        <f t="shared" si="9"/>
        <v>0.05</v>
      </c>
      <c r="Q32" s="65">
        <f t="shared" si="3"/>
        <v>1.3049999999999997</v>
      </c>
      <c r="R32" s="66">
        <f>Таблица1[[#This Row],[Profit]]/Таблица1[[#This Row],[Price]]</f>
        <v>0.31071428571428561</v>
      </c>
      <c r="S32" s="60">
        <f>VLOOKUP($A32,'Order Composition'!$B$2:$F$10,MATCH($C32,'Order Composition'!$B$2:$F$2,0),0)</f>
        <v>0.55000000000000004</v>
      </c>
      <c r="T32" s="65">
        <f t="shared" si="4"/>
        <v>0.71774999999999989</v>
      </c>
      <c r="U32" s="65">
        <f>Таблица1[[#This Row],[Price]]*Таблица1[[#This Row],[Order]]</f>
        <v>2.3100000000000005</v>
      </c>
      <c r="V32" s="65">
        <f>Таблица1[[#This Row],[Cost(with labour)]]*Таблица1[[#This Row],[Order]]</f>
        <v>1.5922500000000004</v>
      </c>
      <c r="W32" s="67">
        <f>VLOOKUP($A32,'Mean order price'!$B$2:$H$10,7,0)</f>
        <v>10.5</v>
      </c>
      <c r="X32" s="68">
        <f t="shared" si="5"/>
        <v>0.52500000000000002</v>
      </c>
    </row>
    <row r="33" spans="1:24">
      <c r="A33" s="53" t="s">
        <v>50</v>
      </c>
      <c r="B33" s="54">
        <f t="shared" si="6"/>
        <v>30</v>
      </c>
      <c r="C33" s="53" t="s">
        <v>19</v>
      </c>
      <c r="D33" s="53" t="s">
        <v>23</v>
      </c>
      <c r="E33" s="59">
        <f>VLOOKUP('Menu and cost - USA by city'!D33,'Menu and cost - Russia'!$D$4:$P$29,2,FALSE)*(VLOOKUP('Menu and cost - USA by city'!A33,COGS!$B$3:$I$10,8,FALSE)/3)*0.4</f>
        <v>2.8000000000000003</v>
      </c>
      <c r="F33" s="59">
        <f>SUMPRODUCT(H33:L33,'Mean order price'!$C$4:$G$4)*G33+P33*'Mean order price'!$H$4</f>
        <v>1.7364000000000004</v>
      </c>
      <c r="G33" s="53">
        <v>0.2</v>
      </c>
      <c r="H33" s="60">
        <v>0.1</v>
      </c>
      <c r="I33" s="60">
        <v>0</v>
      </c>
      <c r="J33" s="60">
        <v>0.4</v>
      </c>
      <c r="K33" s="60">
        <v>0.1</v>
      </c>
      <c r="L33" s="60">
        <v>0.4</v>
      </c>
      <c r="M33" s="60">
        <f t="shared" si="7"/>
        <v>1</v>
      </c>
      <c r="N33" s="61">
        <v>60</v>
      </c>
      <c r="O33" s="62">
        <f t="shared" si="8"/>
        <v>1</v>
      </c>
      <c r="P33" s="62">
        <f t="shared" si="9"/>
        <v>1.6666666666666666E-2</v>
      </c>
      <c r="Q33" s="65">
        <f t="shared" si="3"/>
        <v>1.0635999999999999</v>
      </c>
      <c r="R33" s="66">
        <f>Таблица1[[#This Row],[Profit]]/Таблица1[[#This Row],[Price]]</f>
        <v>0.37985714285714278</v>
      </c>
      <c r="S33" s="60">
        <f>VLOOKUP($A33,'Order Composition'!$B$2:$F$10,MATCH($C33,'Order Composition'!$B$2:$F$2,0),0)</f>
        <v>0.55000000000000004</v>
      </c>
      <c r="T33" s="65">
        <f t="shared" si="4"/>
        <v>0.58497999999999994</v>
      </c>
      <c r="U33" s="65">
        <f>Таблица1[[#This Row],[Price]]*Таблица1[[#This Row],[Order]]</f>
        <v>1.5400000000000003</v>
      </c>
      <c r="V33" s="65">
        <f>Таблица1[[#This Row],[Cost(with labour)]]*Таблица1[[#This Row],[Order]]</f>
        <v>0.95502000000000031</v>
      </c>
      <c r="W33" s="67">
        <f>VLOOKUP($A33,'Mean order price'!$B$2:$H$10,7,0)</f>
        <v>10.5</v>
      </c>
      <c r="X33" s="68">
        <f t="shared" si="5"/>
        <v>0.17499999999999999</v>
      </c>
    </row>
    <row r="34" spans="1:24">
      <c r="A34" s="53" t="s">
        <v>50</v>
      </c>
      <c r="B34" s="54">
        <f t="shared" si="6"/>
        <v>31</v>
      </c>
      <c r="C34" s="53" t="s">
        <v>19</v>
      </c>
      <c r="D34" s="53" t="s">
        <v>24</v>
      </c>
      <c r="E34" s="59">
        <f>VLOOKUP('Menu and cost - USA by city'!D34,'Menu and cost - Russia'!$D$4:$P$29,2,FALSE)*(VLOOKUP('Menu and cost - USA by city'!A34,COGS!$B$3:$I$10,8,FALSE)/3)*0.4</f>
        <v>2.8000000000000003</v>
      </c>
      <c r="F34" s="59">
        <f>SUMPRODUCT(H34:L34,'Mean order price'!$C$4:$G$4)*G34+P34*'Mean order price'!$H$4</f>
        <v>1.9452</v>
      </c>
      <c r="G34" s="53">
        <v>0.2</v>
      </c>
      <c r="H34" s="60">
        <v>0.1</v>
      </c>
      <c r="I34" s="60">
        <v>0.2</v>
      </c>
      <c r="J34" s="60">
        <v>0.3</v>
      </c>
      <c r="K34" s="60">
        <v>0.1</v>
      </c>
      <c r="L34" s="60">
        <v>0.3</v>
      </c>
      <c r="M34" s="60">
        <f t="shared" si="7"/>
        <v>1</v>
      </c>
      <c r="N34" s="61">
        <v>60</v>
      </c>
      <c r="O34" s="62">
        <f t="shared" si="8"/>
        <v>1</v>
      </c>
      <c r="P34" s="62">
        <f t="shared" si="9"/>
        <v>1.6666666666666666E-2</v>
      </c>
      <c r="Q34" s="65">
        <f t="shared" si="3"/>
        <v>0.85480000000000023</v>
      </c>
      <c r="R34" s="66">
        <f>Таблица1[[#This Row],[Profit]]/Таблица1[[#This Row],[Price]]</f>
        <v>0.30528571428571433</v>
      </c>
      <c r="S34" s="60">
        <f>VLOOKUP($A34,'Order Composition'!$B$2:$F$10,MATCH($C34,'Order Composition'!$B$2:$F$2,0),0)</f>
        <v>0.55000000000000004</v>
      </c>
      <c r="T34" s="65">
        <f t="shared" si="4"/>
        <v>0.47014000000000017</v>
      </c>
      <c r="U34" s="65">
        <f>Таблица1[[#This Row],[Price]]*Таблица1[[#This Row],[Order]]</f>
        <v>1.5400000000000003</v>
      </c>
      <c r="V34" s="65">
        <f>Таблица1[[#This Row],[Cost(with labour)]]*Таблица1[[#This Row],[Order]]</f>
        <v>1.06986</v>
      </c>
      <c r="W34" s="67">
        <f>VLOOKUP($A34,'Mean order price'!$B$2:$H$10,7,0)</f>
        <v>10.5</v>
      </c>
      <c r="X34" s="68">
        <f t="shared" si="5"/>
        <v>0.17499999999999999</v>
      </c>
    </row>
    <row r="35" spans="1:24">
      <c r="A35" s="53" t="s">
        <v>50</v>
      </c>
      <c r="B35" s="54">
        <f t="shared" si="6"/>
        <v>32</v>
      </c>
      <c r="C35" s="53" t="s">
        <v>19</v>
      </c>
      <c r="D35" s="53" t="s">
        <v>25</v>
      </c>
      <c r="E35" s="59">
        <f>VLOOKUP('Menu and cost - USA by city'!D35,'Menu and cost - Russia'!$D$4:$P$29,2,FALSE)*(VLOOKUP('Menu and cost - USA by city'!A35,COGS!$B$3:$I$10,8,FALSE)/3)*0.4</f>
        <v>1.4000000000000001</v>
      </c>
      <c r="F35" s="59">
        <f>SUMPRODUCT(H35:L35,'Mean order price'!$C$4:$G$4)*G35+P35*'Mean order price'!$H$4</f>
        <v>1.3446</v>
      </c>
      <c r="G35" s="53">
        <v>0.1</v>
      </c>
      <c r="H35" s="60">
        <v>0.1</v>
      </c>
      <c r="I35" s="60">
        <v>0</v>
      </c>
      <c r="J35" s="60">
        <v>0.75</v>
      </c>
      <c r="K35" s="60">
        <v>0.05</v>
      </c>
      <c r="L35" s="60">
        <v>0.1</v>
      </c>
      <c r="M35" s="60">
        <f t="shared" si="7"/>
        <v>1</v>
      </c>
      <c r="N35" s="61">
        <v>30</v>
      </c>
      <c r="O35" s="62">
        <f t="shared" si="8"/>
        <v>2</v>
      </c>
      <c r="P35" s="62">
        <f t="shared" si="9"/>
        <v>3.3333333333333333E-2</v>
      </c>
      <c r="Q35" s="65">
        <f t="shared" si="3"/>
        <v>5.5400000000000116E-2</v>
      </c>
      <c r="R35" s="66">
        <f>Таблица1[[#This Row],[Profit]]/Таблица1[[#This Row],[Price]]</f>
        <v>3.9571428571428653E-2</v>
      </c>
      <c r="S35" s="60">
        <f>VLOOKUP($A35,'Order Composition'!$B$2:$F$10,MATCH($C35,'Order Composition'!$B$2:$F$2,0),0)</f>
        <v>0.55000000000000004</v>
      </c>
      <c r="T35" s="65">
        <f t="shared" si="4"/>
        <v>3.0470000000000066E-2</v>
      </c>
      <c r="U35" s="65">
        <f>Таблица1[[#This Row],[Price]]*Таблица1[[#This Row],[Order]]</f>
        <v>0.77000000000000013</v>
      </c>
      <c r="V35" s="65">
        <f>Таблица1[[#This Row],[Cost(with labour)]]*Таблица1[[#This Row],[Order]]</f>
        <v>0.73953000000000002</v>
      </c>
      <c r="W35" s="67">
        <f>VLOOKUP($A35,'Mean order price'!$B$2:$H$10,7,0)</f>
        <v>10.5</v>
      </c>
      <c r="X35" s="68">
        <f t="shared" si="5"/>
        <v>0.35</v>
      </c>
    </row>
    <row r="36" spans="1:24">
      <c r="A36" s="53" t="s">
        <v>50</v>
      </c>
      <c r="B36" s="54">
        <f t="shared" si="6"/>
        <v>33</v>
      </c>
      <c r="C36" s="53" t="s">
        <v>19</v>
      </c>
      <c r="D36" s="53" t="s">
        <v>26</v>
      </c>
      <c r="E36" s="59">
        <f>VLOOKUP('Menu and cost - USA by city'!D36,'Menu and cost - Russia'!$D$4:$P$29,2,FALSE)*(VLOOKUP('Menu and cost - USA by city'!A36,COGS!$B$3:$I$10,8,FALSE)/3)*0.4</f>
        <v>1.4000000000000001</v>
      </c>
      <c r="F36" s="59">
        <f>SUMPRODUCT(H36:L36,'Mean order price'!$C$4:$G$4)*G36+P36*'Mean order price'!$H$4</f>
        <v>1.4556</v>
      </c>
      <c r="G36" s="53">
        <v>0.1</v>
      </c>
      <c r="H36" s="60">
        <v>0.1</v>
      </c>
      <c r="I36" s="60">
        <v>0.5</v>
      </c>
      <c r="J36" s="60">
        <v>0.25</v>
      </c>
      <c r="K36" s="60">
        <v>0.05</v>
      </c>
      <c r="L36" s="60">
        <v>0.1</v>
      </c>
      <c r="M36" s="60">
        <f t="shared" si="7"/>
        <v>1</v>
      </c>
      <c r="N36" s="61">
        <v>30</v>
      </c>
      <c r="O36" s="62">
        <f t="shared" si="8"/>
        <v>2</v>
      </c>
      <c r="P36" s="62">
        <f t="shared" si="9"/>
        <v>3.3333333333333333E-2</v>
      </c>
      <c r="Q36" s="65">
        <f t="shared" si="3"/>
        <v>-5.5599999999999872E-2</v>
      </c>
      <c r="R36" s="66">
        <f>Таблица1[[#This Row],[Profit]]/Таблица1[[#This Row],[Price]]</f>
        <v>-3.9714285714285619E-2</v>
      </c>
      <c r="S36" s="60">
        <f>VLOOKUP($A36,'Order Composition'!$B$2:$F$10,MATCH($C36,'Order Composition'!$B$2:$F$2,0),0)</f>
        <v>0.55000000000000004</v>
      </c>
      <c r="T36" s="65">
        <f t="shared" si="4"/>
        <v>-3.0579999999999934E-2</v>
      </c>
      <c r="U36" s="65">
        <f>Таблица1[[#This Row],[Price]]*Таблица1[[#This Row],[Order]]</f>
        <v>0.77000000000000013</v>
      </c>
      <c r="V36" s="65">
        <f>Таблица1[[#This Row],[Cost(with labour)]]*Таблица1[[#This Row],[Order]]</f>
        <v>0.80058000000000007</v>
      </c>
      <c r="W36" s="67">
        <f>VLOOKUP($A36,'Mean order price'!$B$2:$H$10,7,0)</f>
        <v>10.5</v>
      </c>
      <c r="X36" s="68">
        <f t="shared" si="5"/>
        <v>0.35</v>
      </c>
    </row>
    <row r="37" spans="1:24">
      <c r="A37" s="53" t="s">
        <v>50</v>
      </c>
      <c r="B37" s="54">
        <f t="shared" si="6"/>
        <v>34</v>
      </c>
      <c r="C37" s="53" t="s">
        <v>27</v>
      </c>
      <c r="D37" s="53" t="s">
        <v>28</v>
      </c>
      <c r="E37" s="59">
        <f>VLOOKUP('Menu and cost - USA by city'!D37,'Menu and cost - Russia'!$D$4:$P$29,2,FALSE)*(VLOOKUP('Menu and cost - USA by city'!A37,COGS!$B$3:$I$10,8,FALSE)/3)*0.4</f>
        <v>4.2</v>
      </c>
      <c r="F37" s="59">
        <f>SUMPRODUCT(H37:L37,'Mean order price'!$C$4:$G$4)*G37+P37*'Mean order price'!$H$4</f>
        <v>2.6892</v>
      </c>
      <c r="G37" s="53">
        <v>0.2</v>
      </c>
      <c r="H37" s="60">
        <v>0.1</v>
      </c>
      <c r="I37" s="60">
        <v>0</v>
      </c>
      <c r="J37" s="60">
        <v>0.75</v>
      </c>
      <c r="K37" s="60">
        <v>0.05</v>
      </c>
      <c r="L37" s="60">
        <v>0.1</v>
      </c>
      <c r="M37" s="60">
        <f t="shared" si="7"/>
        <v>1</v>
      </c>
      <c r="N37" s="61">
        <v>15</v>
      </c>
      <c r="O37" s="62">
        <f t="shared" si="8"/>
        <v>4</v>
      </c>
      <c r="P37" s="62">
        <f t="shared" si="9"/>
        <v>6.6666666666666666E-2</v>
      </c>
      <c r="Q37" s="65">
        <f t="shared" si="3"/>
        <v>1.5108000000000001</v>
      </c>
      <c r="R37" s="66">
        <f>Таблица1[[#This Row],[Profit]]/Таблица1[[#This Row],[Price]]</f>
        <v>0.35971428571428571</v>
      </c>
      <c r="S37" s="60">
        <f>VLOOKUP($A37,'Order Composition'!$B$2:$F$10,MATCH($C37,'Order Composition'!$B$2:$F$2,0),0)</f>
        <v>0.6</v>
      </c>
      <c r="T37" s="65">
        <f t="shared" si="4"/>
        <v>0.90648000000000006</v>
      </c>
      <c r="U37" s="65">
        <f>Таблица1[[#This Row],[Price]]*Таблица1[[#This Row],[Order]]</f>
        <v>2.52</v>
      </c>
      <c r="V37" s="65">
        <f>Таблица1[[#This Row],[Cost(with labour)]]*Таблица1[[#This Row],[Order]]</f>
        <v>1.6135200000000001</v>
      </c>
      <c r="W37" s="67">
        <f>VLOOKUP($A37,'Mean order price'!$B$2:$H$10,7,0)</f>
        <v>10.5</v>
      </c>
      <c r="X37" s="68">
        <f t="shared" si="5"/>
        <v>0.7</v>
      </c>
    </row>
    <row r="38" spans="1:24">
      <c r="A38" s="53" t="s">
        <v>50</v>
      </c>
      <c r="B38" s="54">
        <f t="shared" si="6"/>
        <v>35</v>
      </c>
      <c r="C38" s="53" t="s">
        <v>27</v>
      </c>
      <c r="D38" s="53" t="s">
        <v>29</v>
      </c>
      <c r="E38" s="59">
        <f>VLOOKUP('Menu and cost - USA by city'!D38,'Menu and cost - Russia'!$D$4:$P$29,2,FALSE)*(VLOOKUP('Menu and cost - USA by city'!A38,COGS!$B$3:$I$10,8,FALSE)/3)*0.4</f>
        <v>4.2</v>
      </c>
      <c r="F38" s="59">
        <f>SUMPRODUCT(H38:L38,'Mean order price'!$C$4:$G$4)*G38+P38*'Mean order price'!$H$4</f>
        <v>3.4108000000000001</v>
      </c>
      <c r="G38" s="53">
        <v>0.3</v>
      </c>
      <c r="H38" s="60">
        <v>0.3</v>
      </c>
      <c r="I38" s="60">
        <v>0</v>
      </c>
      <c r="J38" s="60">
        <v>0.55000000000000004</v>
      </c>
      <c r="K38" s="60">
        <v>0.05</v>
      </c>
      <c r="L38" s="60">
        <v>0.1</v>
      </c>
      <c r="M38" s="60">
        <f t="shared" si="7"/>
        <v>1.0000000000000002</v>
      </c>
      <c r="N38" s="61">
        <v>15</v>
      </c>
      <c r="O38" s="62">
        <f t="shared" si="8"/>
        <v>4</v>
      </c>
      <c r="P38" s="62">
        <f t="shared" si="9"/>
        <v>6.6666666666666666E-2</v>
      </c>
      <c r="Q38" s="65">
        <f t="shared" si="3"/>
        <v>0.78920000000000012</v>
      </c>
      <c r="R38" s="66">
        <f>Таблица1[[#This Row],[Profit]]/Таблица1[[#This Row],[Price]]</f>
        <v>0.18790476190476194</v>
      </c>
      <c r="S38" s="60">
        <f>VLOOKUP($A38,'Order Composition'!$B$2:$F$10,MATCH($C38,'Order Composition'!$B$2:$F$2,0),0)</f>
        <v>0.6</v>
      </c>
      <c r="T38" s="65">
        <f t="shared" si="4"/>
        <v>0.47352000000000005</v>
      </c>
      <c r="U38" s="65">
        <f>Таблица1[[#This Row],[Price]]*Таблица1[[#This Row],[Order]]</f>
        <v>2.52</v>
      </c>
      <c r="V38" s="65">
        <f>Таблица1[[#This Row],[Cost(with labour)]]*Таблица1[[#This Row],[Order]]</f>
        <v>2.0464799999999999</v>
      </c>
      <c r="W38" s="67">
        <f>VLOOKUP($A38,'Mean order price'!$B$2:$H$10,7,0)</f>
        <v>10.5</v>
      </c>
      <c r="X38" s="68">
        <f t="shared" si="5"/>
        <v>0.7</v>
      </c>
    </row>
    <row r="39" spans="1:24">
      <c r="A39" s="53" t="s">
        <v>50</v>
      </c>
      <c r="B39" s="54">
        <f t="shared" si="6"/>
        <v>36</v>
      </c>
      <c r="C39" s="53" t="s">
        <v>27</v>
      </c>
      <c r="D39" s="53" t="s">
        <v>30</v>
      </c>
      <c r="E39" s="59">
        <f>VLOOKUP('Menu and cost - USA by city'!D39,'Menu and cost - Russia'!$D$4:$P$29,2,FALSE)*(VLOOKUP('Menu and cost - USA by city'!A39,COGS!$B$3:$I$10,8,FALSE)/3)*0.4</f>
        <v>4.2</v>
      </c>
      <c r="F39" s="59">
        <f>SUMPRODUCT(H39:L39,'Mean order price'!$C$4:$G$4)*G39+P39*'Mean order price'!$H$4</f>
        <v>3.8502999999999998</v>
      </c>
      <c r="G39" s="53">
        <v>0.3</v>
      </c>
      <c r="H39" s="60">
        <v>0.1</v>
      </c>
      <c r="I39" s="60">
        <v>0.25</v>
      </c>
      <c r="J39" s="60">
        <v>0.5</v>
      </c>
      <c r="K39" s="60">
        <v>0.05</v>
      </c>
      <c r="L39" s="60">
        <v>0.1</v>
      </c>
      <c r="M39" s="60">
        <f t="shared" si="7"/>
        <v>1</v>
      </c>
      <c r="N39" s="61">
        <v>15</v>
      </c>
      <c r="O39" s="62">
        <f t="shared" si="8"/>
        <v>4</v>
      </c>
      <c r="P39" s="62">
        <f t="shared" si="9"/>
        <v>6.6666666666666666E-2</v>
      </c>
      <c r="Q39" s="65">
        <f t="shared" si="3"/>
        <v>0.34970000000000034</v>
      </c>
      <c r="R39" s="66">
        <f>Таблица1[[#This Row],[Profit]]/Таблица1[[#This Row],[Price]]</f>
        <v>8.3261904761904842E-2</v>
      </c>
      <c r="S39" s="60">
        <f>VLOOKUP($A39,'Order Composition'!$B$2:$F$10,MATCH($C39,'Order Composition'!$B$2:$F$2,0),0)</f>
        <v>0.6</v>
      </c>
      <c r="T39" s="65">
        <f t="shared" si="4"/>
        <v>0.2098200000000002</v>
      </c>
      <c r="U39" s="65">
        <f>Таблица1[[#This Row],[Price]]*Таблица1[[#This Row],[Order]]</f>
        <v>2.52</v>
      </c>
      <c r="V39" s="65">
        <f>Таблица1[[#This Row],[Cost(with labour)]]*Таблица1[[#This Row],[Order]]</f>
        <v>2.3101799999999999</v>
      </c>
      <c r="W39" s="67">
        <f>VLOOKUP($A39,'Mean order price'!$B$2:$H$10,7,0)</f>
        <v>10.5</v>
      </c>
      <c r="X39" s="68">
        <f t="shared" si="5"/>
        <v>0.7</v>
      </c>
    </row>
    <row r="40" spans="1:24">
      <c r="A40" s="53" t="s">
        <v>50</v>
      </c>
      <c r="B40" s="54">
        <f t="shared" si="6"/>
        <v>37</v>
      </c>
      <c r="C40" s="53" t="s">
        <v>27</v>
      </c>
      <c r="D40" s="53" t="s">
        <v>31</v>
      </c>
      <c r="E40" s="59">
        <f>VLOOKUP('Menu and cost - USA by city'!D40,'Menu and cost - Russia'!$D$4:$P$29,2,FALSE)*(VLOOKUP('Menu and cost - USA by city'!A40,COGS!$B$3:$I$10,8,FALSE)/3)*0.4</f>
        <v>4.2</v>
      </c>
      <c r="F40" s="59">
        <f>SUMPRODUCT(H40:L40,'Mean order price'!$C$4:$G$4)*G40+P40*'Mean order price'!$H$4</f>
        <v>3.1258000000000008</v>
      </c>
      <c r="G40" s="53">
        <v>0.2</v>
      </c>
      <c r="H40" s="60">
        <v>0.2</v>
      </c>
      <c r="I40" s="60">
        <v>0.4</v>
      </c>
      <c r="J40" s="60">
        <v>0.25</v>
      </c>
      <c r="K40" s="60">
        <v>0.05</v>
      </c>
      <c r="L40" s="60">
        <v>0.1</v>
      </c>
      <c r="M40" s="60">
        <f t="shared" si="7"/>
        <v>1.0000000000000002</v>
      </c>
      <c r="N40" s="61">
        <v>10</v>
      </c>
      <c r="O40" s="62">
        <f t="shared" si="8"/>
        <v>6</v>
      </c>
      <c r="P40" s="62">
        <f t="shared" si="9"/>
        <v>0.1</v>
      </c>
      <c r="Q40" s="65">
        <f t="shared" si="3"/>
        <v>1.0741999999999994</v>
      </c>
      <c r="R40" s="66">
        <f>Таблица1[[#This Row],[Profit]]/Таблица1[[#This Row],[Price]]</f>
        <v>0.25576190476190458</v>
      </c>
      <c r="S40" s="60">
        <f>VLOOKUP($A40,'Order Composition'!$B$2:$F$10,MATCH($C40,'Order Composition'!$B$2:$F$2,0),0)</f>
        <v>0.6</v>
      </c>
      <c r="T40" s="65">
        <f t="shared" si="4"/>
        <v>0.64451999999999965</v>
      </c>
      <c r="U40" s="65">
        <f>Таблица1[[#This Row],[Price]]*Таблица1[[#This Row],[Order]]</f>
        <v>2.52</v>
      </c>
      <c r="V40" s="65">
        <f>Таблица1[[#This Row],[Cost(with labour)]]*Таблица1[[#This Row],[Order]]</f>
        <v>1.8754800000000005</v>
      </c>
      <c r="W40" s="67">
        <f>VLOOKUP($A40,'Mean order price'!$B$2:$H$10,7,0)</f>
        <v>10.5</v>
      </c>
      <c r="X40" s="68">
        <f t="shared" si="5"/>
        <v>1.05</v>
      </c>
    </row>
    <row r="41" spans="1:24">
      <c r="A41" s="53" t="s">
        <v>50</v>
      </c>
      <c r="B41" s="54">
        <f t="shared" si="6"/>
        <v>38</v>
      </c>
      <c r="C41" s="53" t="s">
        <v>27</v>
      </c>
      <c r="D41" s="53" t="s">
        <v>32</v>
      </c>
      <c r="E41" s="59">
        <f>VLOOKUP('Menu and cost - USA by city'!D41,'Menu and cost - Russia'!$D$4:$P$29,2,FALSE)*(VLOOKUP('Menu and cost - USA by city'!A41,COGS!$B$3:$I$10,8,FALSE)/3)*0.4</f>
        <v>5.6000000000000005</v>
      </c>
      <c r="F41" s="59">
        <f>SUMPRODUCT(H41:L41,'Mean order price'!$C$4:$G$4)*G41+P41*'Mean order price'!$H$4</f>
        <v>4.2968999999999999</v>
      </c>
      <c r="G41" s="53">
        <v>0.3</v>
      </c>
      <c r="H41" s="60">
        <v>0.2</v>
      </c>
      <c r="I41" s="60">
        <v>0.6</v>
      </c>
      <c r="J41" s="60">
        <v>0.05</v>
      </c>
      <c r="K41" s="60">
        <v>0.05</v>
      </c>
      <c r="L41" s="60">
        <v>0.1</v>
      </c>
      <c r="M41" s="60">
        <f t="shared" si="7"/>
        <v>1.0000000000000002</v>
      </c>
      <c r="N41" s="61">
        <v>10</v>
      </c>
      <c r="O41" s="62">
        <f t="shared" si="8"/>
        <v>6</v>
      </c>
      <c r="P41" s="62">
        <f t="shared" si="9"/>
        <v>0.1</v>
      </c>
      <c r="Q41" s="65">
        <f t="shared" si="3"/>
        <v>1.3031000000000006</v>
      </c>
      <c r="R41" s="66">
        <f>Таблица1[[#This Row],[Profit]]/Таблица1[[#This Row],[Price]]</f>
        <v>0.23269642857142867</v>
      </c>
      <c r="S41" s="60">
        <f>VLOOKUP($A41,'Order Composition'!$B$2:$F$10,MATCH($C41,'Order Composition'!$B$2:$F$2,0),0)</f>
        <v>0.6</v>
      </c>
      <c r="T41" s="65">
        <f t="shared" si="4"/>
        <v>0.78186000000000033</v>
      </c>
      <c r="U41" s="65">
        <f>Таблица1[[#This Row],[Price]]*Таблица1[[#This Row],[Order]]</f>
        <v>3.3600000000000003</v>
      </c>
      <c r="V41" s="65">
        <f>Таблица1[[#This Row],[Cost(with labour)]]*Таблица1[[#This Row],[Order]]</f>
        <v>2.5781399999999999</v>
      </c>
      <c r="W41" s="67">
        <f>VLOOKUP($A41,'Mean order price'!$B$2:$H$10,7,0)</f>
        <v>10.5</v>
      </c>
      <c r="X41" s="68">
        <f t="shared" si="5"/>
        <v>1.05</v>
      </c>
    </row>
    <row r="42" spans="1:24">
      <c r="A42" s="53" t="s">
        <v>50</v>
      </c>
      <c r="B42" s="54">
        <f t="shared" si="6"/>
        <v>39</v>
      </c>
      <c r="C42" s="53" t="s">
        <v>27</v>
      </c>
      <c r="D42" s="53" t="s">
        <v>33</v>
      </c>
      <c r="E42" s="59">
        <f>VLOOKUP('Menu and cost - USA by city'!D42,'Menu and cost - Russia'!$D$4:$P$29,2,FALSE)*(VLOOKUP('Menu and cost - USA by city'!A42,COGS!$B$3:$I$10,8,FALSE)/3)*0.4</f>
        <v>5.6000000000000005</v>
      </c>
      <c r="F42" s="59">
        <f>SUMPRODUCT(H42:L42,'Mean order price'!$C$4:$G$4)*G42+P42*'Mean order price'!$H$4</f>
        <v>4.2303000000000006</v>
      </c>
      <c r="G42" s="53">
        <v>0.3</v>
      </c>
      <c r="H42" s="60">
        <v>0.2</v>
      </c>
      <c r="I42" s="60">
        <v>0.5</v>
      </c>
      <c r="J42" s="60">
        <v>0.15</v>
      </c>
      <c r="K42" s="60">
        <v>0.05</v>
      </c>
      <c r="L42" s="60">
        <v>0.1</v>
      </c>
      <c r="M42" s="60">
        <f t="shared" si="7"/>
        <v>1</v>
      </c>
      <c r="N42" s="61">
        <v>10</v>
      </c>
      <c r="O42" s="62">
        <f t="shared" si="8"/>
        <v>6</v>
      </c>
      <c r="P42" s="62">
        <f t="shared" si="9"/>
        <v>0.1</v>
      </c>
      <c r="Q42" s="65">
        <f t="shared" si="3"/>
        <v>1.3696999999999999</v>
      </c>
      <c r="R42" s="66">
        <f>Таблица1[[#This Row],[Profit]]/Таблица1[[#This Row],[Price]]</f>
        <v>0.24458928571428568</v>
      </c>
      <c r="S42" s="60">
        <f>VLOOKUP($A42,'Order Composition'!$B$2:$F$10,MATCH($C42,'Order Composition'!$B$2:$F$2,0),0)</f>
        <v>0.6</v>
      </c>
      <c r="T42" s="65">
        <f t="shared" si="4"/>
        <v>0.82181999999999988</v>
      </c>
      <c r="U42" s="65">
        <f>Таблица1[[#This Row],[Price]]*Таблица1[[#This Row],[Order]]</f>
        <v>3.3600000000000003</v>
      </c>
      <c r="V42" s="65">
        <f>Таблица1[[#This Row],[Cost(with labour)]]*Таблица1[[#This Row],[Order]]</f>
        <v>2.5381800000000001</v>
      </c>
      <c r="W42" s="67">
        <f>VLOOKUP($A42,'Mean order price'!$B$2:$H$10,7,0)</f>
        <v>10.5</v>
      </c>
      <c r="X42" s="68">
        <f t="shared" si="5"/>
        <v>1.05</v>
      </c>
    </row>
    <row r="43" spans="1:24">
      <c r="A43" s="53" t="s">
        <v>50</v>
      </c>
      <c r="B43" s="54">
        <f t="shared" si="6"/>
        <v>40</v>
      </c>
      <c r="C43" s="53" t="s">
        <v>27</v>
      </c>
      <c r="D43" s="53" t="s">
        <v>34</v>
      </c>
      <c r="E43" s="59">
        <f>VLOOKUP('Menu and cost - USA by city'!D43,'Menu and cost - Russia'!$D$4:$P$29,2,FALSE)*(VLOOKUP('Menu and cost - USA by city'!A43,COGS!$B$3:$I$10,8,FALSE)/3)*0.4</f>
        <v>4.2</v>
      </c>
      <c r="F43" s="59">
        <f>SUMPRODUCT(H43:L43,'Mean order price'!$C$4:$G$4)*G43+P43*'Mean order price'!$H$4</f>
        <v>2.6892</v>
      </c>
      <c r="G43" s="53">
        <v>0.2</v>
      </c>
      <c r="H43" s="60">
        <v>0.1</v>
      </c>
      <c r="I43" s="60">
        <v>0</v>
      </c>
      <c r="J43" s="60">
        <v>0.75</v>
      </c>
      <c r="K43" s="60">
        <v>0.05</v>
      </c>
      <c r="L43" s="60">
        <v>0.1</v>
      </c>
      <c r="M43" s="60">
        <f t="shared" si="7"/>
        <v>1</v>
      </c>
      <c r="N43" s="61">
        <v>15</v>
      </c>
      <c r="O43" s="62">
        <f t="shared" si="8"/>
        <v>4</v>
      </c>
      <c r="P43" s="62">
        <f t="shared" si="9"/>
        <v>6.6666666666666666E-2</v>
      </c>
      <c r="Q43" s="65">
        <f t="shared" si="3"/>
        <v>1.5108000000000001</v>
      </c>
      <c r="R43" s="66">
        <f>Таблица1[[#This Row],[Profit]]/Таблица1[[#This Row],[Price]]</f>
        <v>0.35971428571428571</v>
      </c>
      <c r="S43" s="60">
        <f>VLOOKUP($A43,'Order Composition'!$B$2:$F$10,MATCH($C43,'Order Composition'!$B$2:$F$2,0),0)</f>
        <v>0.6</v>
      </c>
      <c r="T43" s="65">
        <f t="shared" si="4"/>
        <v>0.90648000000000006</v>
      </c>
      <c r="U43" s="65">
        <f>Таблица1[[#This Row],[Price]]*Таблица1[[#This Row],[Order]]</f>
        <v>2.52</v>
      </c>
      <c r="V43" s="65">
        <f>Таблица1[[#This Row],[Cost(with labour)]]*Таблица1[[#This Row],[Order]]</f>
        <v>1.6135200000000001</v>
      </c>
      <c r="W43" s="67">
        <f>VLOOKUP($A43,'Mean order price'!$B$2:$H$10,7,0)</f>
        <v>10.5</v>
      </c>
      <c r="X43" s="68">
        <f t="shared" si="5"/>
        <v>0.7</v>
      </c>
    </row>
    <row r="44" spans="1:24">
      <c r="A44" s="53" t="s">
        <v>50</v>
      </c>
      <c r="B44" s="54">
        <f t="shared" si="6"/>
        <v>41</v>
      </c>
      <c r="C44" s="53" t="s">
        <v>27</v>
      </c>
      <c r="D44" s="53" t="s">
        <v>35</v>
      </c>
      <c r="E44" s="59">
        <f>VLOOKUP('Menu and cost - USA by city'!D44,'Menu and cost - Russia'!$D$4:$P$29,2,FALSE)*(VLOOKUP('Menu and cost - USA by city'!A44,COGS!$B$3:$I$10,8,FALSE)/3)*0.4</f>
        <v>4.2</v>
      </c>
      <c r="F44" s="59">
        <f>SUMPRODUCT(H44:L44,'Mean order price'!$C$4:$G$4)*G44+P44*'Mean order price'!$H$4</f>
        <v>2.5982000000000003</v>
      </c>
      <c r="G44" s="53">
        <v>0.2</v>
      </c>
      <c r="H44" s="60">
        <v>0.2</v>
      </c>
      <c r="I44" s="60">
        <v>0</v>
      </c>
      <c r="J44" s="60">
        <v>0.65</v>
      </c>
      <c r="K44" s="60">
        <v>0.05</v>
      </c>
      <c r="L44" s="60">
        <v>0.1</v>
      </c>
      <c r="M44" s="60">
        <f t="shared" si="7"/>
        <v>1.0000000000000002</v>
      </c>
      <c r="N44" s="61">
        <v>15</v>
      </c>
      <c r="O44" s="62">
        <f t="shared" si="8"/>
        <v>4</v>
      </c>
      <c r="P44" s="62">
        <f t="shared" si="9"/>
        <v>6.6666666666666666E-2</v>
      </c>
      <c r="Q44" s="65">
        <f t="shared" si="3"/>
        <v>1.6017999999999999</v>
      </c>
      <c r="R44" s="66">
        <f>Таблица1[[#This Row],[Profit]]/Таблица1[[#This Row],[Price]]</f>
        <v>0.38138095238095232</v>
      </c>
      <c r="S44" s="60">
        <f>VLOOKUP($A44,'Order Composition'!$B$2:$F$10,MATCH($C44,'Order Composition'!$B$2:$F$2,0),0)</f>
        <v>0.6</v>
      </c>
      <c r="T44" s="65">
        <f t="shared" si="4"/>
        <v>0.96107999999999993</v>
      </c>
      <c r="U44" s="65">
        <f>Таблица1[[#This Row],[Price]]*Таблица1[[#This Row],[Order]]</f>
        <v>2.52</v>
      </c>
      <c r="V44" s="65">
        <f>Таблица1[[#This Row],[Cost(with labour)]]*Таблица1[[#This Row],[Order]]</f>
        <v>1.5589200000000001</v>
      </c>
      <c r="W44" s="67">
        <f>VLOOKUP($A44,'Mean order price'!$B$2:$H$10,7,0)</f>
        <v>10.5</v>
      </c>
      <c r="X44" s="68">
        <f t="shared" si="5"/>
        <v>0.7</v>
      </c>
    </row>
    <row r="45" spans="1:24">
      <c r="A45" s="53" t="s">
        <v>50</v>
      </c>
      <c r="B45" s="54">
        <f t="shared" si="6"/>
        <v>42</v>
      </c>
      <c r="C45" s="53" t="s">
        <v>27</v>
      </c>
      <c r="D45" s="53" t="s">
        <v>36</v>
      </c>
      <c r="E45" s="59">
        <f>VLOOKUP('Menu and cost - USA by city'!D45,'Menu and cost - Russia'!$D$4:$P$29,2,FALSE)*(VLOOKUP('Menu and cost - USA by city'!A45,COGS!$B$3:$I$10,8,FALSE)/3)*0.4</f>
        <v>7</v>
      </c>
      <c r="F45" s="59">
        <f>SUMPRODUCT(H45:L45,'Mean order price'!$C$4:$G$4)*G45+P45*'Mean order price'!$H$4</f>
        <v>4.2450000000000001</v>
      </c>
      <c r="G45" s="53">
        <v>0.3</v>
      </c>
      <c r="H45" s="60">
        <v>0</v>
      </c>
      <c r="I45" s="60">
        <v>0.5</v>
      </c>
      <c r="J45" s="60">
        <v>0.2</v>
      </c>
      <c r="K45" s="60">
        <v>0</v>
      </c>
      <c r="L45" s="60">
        <v>0.3</v>
      </c>
      <c r="M45" s="60">
        <f t="shared" si="7"/>
        <v>1</v>
      </c>
      <c r="N45" s="61">
        <v>10</v>
      </c>
      <c r="O45" s="62">
        <f t="shared" si="8"/>
        <v>6</v>
      </c>
      <c r="P45" s="62">
        <f t="shared" si="9"/>
        <v>0.1</v>
      </c>
      <c r="Q45" s="65">
        <f t="shared" si="3"/>
        <v>2.7549999999999999</v>
      </c>
      <c r="R45" s="66">
        <f>Таблица1[[#This Row],[Profit]]/Таблица1[[#This Row],[Price]]</f>
        <v>0.39357142857142857</v>
      </c>
      <c r="S45" s="60">
        <f>VLOOKUP($A45,'Order Composition'!$B$2:$F$10,MATCH($C45,'Order Composition'!$B$2:$F$2,0),0)</f>
        <v>0.6</v>
      </c>
      <c r="T45" s="65">
        <f t="shared" si="4"/>
        <v>1.6529999999999998</v>
      </c>
      <c r="U45" s="65">
        <f>Таблица1[[#This Row],[Price]]*Таблица1[[#This Row],[Order]]</f>
        <v>4.2</v>
      </c>
      <c r="V45" s="65">
        <f>Таблица1[[#This Row],[Cost(with labour)]]*Таблица1[[#This Row],[Order]]</f>
        <v>2.5470000000000002</v>
      </c>
      <c r="W45" s="67">
        <f>VLOOKUP($A45,'Mean order price'!$B$2:$H$10,7,0)</f>
        <v>10.5</v>
      </c>
      <c r="X45" s="68">
        <f t="shared" si="5"/>
        <v>1.05</v>
      </c>
    </row>
    <row r="46" spans="1:24">
      <c r="A46" s="53" t="s">
        <v>50</v>
      </c>
      <c r="B46" s="54">
        <f t="shared" si="6"/>
        <v>43</v>
      </c>
      <c r="C46" s="53" t="s">
        <v>27</v>
      </c>
      <c r="D46" s="53" t="s">
        <v>37</v>
      </c>
      <c r="E46" s="59">
        <f>VLOOKUP('Menu and cost - USA by city'!D46,'Menu and cost - Russia'!$D$4:$P$29,2,FALSE)*(VLOOKUP('Menu and cost - USA by city'!A46,COGS!$B$3:$I$10,8,FALSE)/3)*0.4</f>
        <v>7</v>
      </c>
      <c r="F46" s="59">
        <f>SUMPRODUCT(H46:L46,'Mean order price'!$C$4:$G$4)*G46+P46*'Mean order price'!$H$4</f>
        <v>4.2885</v>
      </c>
      <c r="G46" s="53">
        <v>0.3</v>
      </c>
      <c r="H46" s="60">
        <v>0.1</v>
      </c>
      <c r="I46" s="60">
        <v>0.5</v>
      </c>
      <c r="J46" s="60">
        <v>0.2</v>
      </c>
      <c r="K46" s="60">
        <v>0</v>
      </c>
      <c r="L46" s="60">
        <v>0.2</v>
      </c>
      <c r="M46" s="60">
        <f t="shared" si="7"/>
        <v>1</v>
      </c>
      <c r="N46" s="61">
        <v>10</v>
      </c>
      <c r="O46" s="62">
        <f t="shared" si="8"/>
        <v>6</v>
      </c>
      <c r="P46" s="62">
        <f t="shared" si="9"/>
        <v>0.1</v>
      </c>
      <c r="Q46" s="65">
        <f t="shared" si="3"/>
        <v>2.7115</v>
      </c>
      <c r="R46" s="66">
        <f>Таблица1[[#This Row],[Profit]]/Таблица1[[#This Row],[Price]]</f>
        <v>0.38735714285714284</v>
      </c>
      <c r="S46" s="60">
        <f>VLOOKUP($A46,'Order Composition'!$B$2:$F$10,MATCH($C46,'Order Composition'!$B$2:$F$2,0),0)</f>
        <v>0.6</v>
      </c>
      <c r="T46" s="65">
        <f t="shared" si="4"/>
        <v>1.6269</v>
      </c>
      <c r="U46" s="65">
        <f>Таблица1[[#This Row],[Price]]*Таблица1[[#This Row],[Order]]</f>
        <v>4.2</v>
      </c>
      <c r="V46" s="65">
        <f>Таблица1[[#This Row],[Cost(with labour)]]*Таблица1[[#This Row],[Order]]</f>
        <v>2.5730999999999997</v>
      </c>
      <c r="W46" s="67">
        <f>VLOOKUP($A46,'Mean order price'!$B$2:$H$10,7,0)</f>
        <v>10.5</v>
      </c>
      <c r="X46" s="68">
        <f t="shared" si="5"/>
        <v>1.05</v>
      </c>
    </row>
    <row r="47" spans="1:24">
      <c r="A47" s="53" t="s">
        <v>50</v>
      </c>
      <c r="B47" s="54">
        <f t="shared" si="6"/>
        <v>44</v>
      </c>
      <c r="C47" s="53" t="s">
        <v>38</v>
      </c>
      <c r="D47" s="53" t="s">
        <v>39</v>
      </c>
      <c r="E47" s="59">
        <f>VLOOKUP('Menu and cost - USA by city'!D47,'Menu and cost - Russia'!$D$4:$P$29,2,FALSE)*(VLOOKUP('Menu and cost - USA by city'!A47,COGS!$B$3:$I$10,8,FALSE)/3)*0.4</f>
        <v>4.2</v>
      </c>
      <c r="F47" s="59">
        <f>SUMPRODUCT(H47:L47,'Mean order price'!$C$4:$G$4)*G47+P47*'Mean order price'!$H$4</f>
        <v>1.8195000000000001</v>
      </c>
      <c r="G47" s="53">
        <v>0.15</v>
      </c>
      <c r="H47" s="60">
        <v>0.2</v>
      </c>
      <c r="I47" s="60">
        <v>0</v>
      </c>
      <c r="J47" s="60">
        <v>0.5</v>
      </c>
      <c r="K47" s="60">
        <v>0</v>
      </c>
      <c r="L47" s="60">
        <v>0.3</v>
      </c>
      <c r="M47" s="60">
        <f t="shared" si="7"/>
        <v>1</v>
      </c>
      <c r="N47" s="61">
        <v>20</v>
      </c>
      <c r="O47" s="62">
        <f t="shared" si="8"/>
        <v>3</v>
      </c>
      <c r="P47" s="62">
        <f t="shared" si="9"/>
        <v>0.05</v>
      </c>
      <c r="Q47" s="65">
        <f t="shared" si="3"/>
        <v>2.3805000000000001</v>
      </c>
      <c r="R47" s="66">
        <f>Таблица1[[#This Row],[Profit]]/Таблица1[[#This Row],[Price]]</f>
        <v>0.56678571428571423</v>
      </c>
      <c r="S47" s="60">
        <f>VLOOKUP($A47,'Order Composition'!$B$2:$F$10,MATCH($C47,'Order Composition'!$B$2:$F$2,0),0)</f>
        <v>0.4</v>
      </c>
      <c r="T47" s="65">
        <f t="shared" si="4"/>
        <v>0.95220000000000005</v>
      </c>
      <c r="U47" s="65">
        <f>Таблица1[[#This Row],[Price]]*Таблица1[[#This Row],[Order]]</f>
        <v>1.6800000000000002</v>
      </c>
      <c r="V47" s="65">
        <f>Таблица1[[#This Row],[Cost(with labour)]]*Таблица1[[#This Row],[Order]]</f>
        <v>0.72780000000000011</v>
      </c>
      <c r="W47" s="67">
        <f>VLOOKUP($A47,'Mean order price'!$B$2:$H$10,7,0)</f>
        <v>10.5</v>
      </c>
      <c r="X47" s="68">
        <f t="shared" si="5"/>
        <v>0.52500000000000002</v>
      </c>
    </row>
    <row r="48" spans="1:24">
      <c r="A48" s="53" t="s">
        <v>50</v>
      </c>
      <c r="B48" s="54">
        <f t="shared" si="6"/>
        <v>45</v>
      </c>
      <c r="C48" s="53" t="s">
        <v>38</v>
      </c>
      <c r="D48" s="53" t="s">
        <v>40</v>
      </c>
      <c r="E48" s="59">
        <f>VLOOKUP('Menu and cost - USA by city'!D48,'Menu and cost - Russia'!$D$4:$P$29,2,FALSE)*(VLOOKUP('Menu and cost - USA by city'!A48,COGS!$B$3:$I$10,8,FALSE)/3)*0.4</f>
        <v>4.2</v>
      </c>
      <c r="F48" s="59">
        <f>SUMPRODUCT(H48:L48,'Mean order price'!$C$4:$G$4)*G48+P48*'Mean order price'!$H$4</f>
        <v>1.8195000000000001</v>
      </c>
      <c r="G48" s="53">
        <v>0.15</v>
      </c>
      <c r="H48" s="60">
        <v>0.2</v>
      </c>
      <c r="I48" s="60">
        <v>0</v>
      </c>
      <c r="J48" s="60">
        <v>0.5</v>
      </c>
      <c r="K48" s="60">
        <v>0</v>
      </c>
      <c r="L48" s="60">
        <v>0.3</v>
      </c>
      <c r="M48" s="60">
        <f t="shared" si="7"/>
        <v>1</v>
      </c>
      <c r="N48" s="61">
        <v>20</v>
      </c>
      <c r="O48" s="62">
        <f t="shared" si="8"/>
        <v>3</v>
      </c>
      <c r="P48" s="62">
        <f t="shared" si="9"/>
        <v>0.05</v>
      </c>
      <c r="Q48" s="65">
        <f t="shared" si="3"/>
        <v>2.3805000000000001</v>
      </c>
      <c r="R48" s="66">
        <f>Таблица1[[#This Row],[Profit]]/Таблица1[[#This Row],[Price]]</f>
        <v>0.56678571428571423</v>
      </c>
      <c r="S48" s="60">
        <f>VLOOKUP($A48,'Order Composition'!$B$2:$F$10,MATCH($C48,'Order Composition'!$B$2:$F$2,0),0)</f>
        <v>0.4</v>
      </c>
      <c r="T48" s="65">
        <f t="shared" si="4"/>
        <v>0.95220000000000005</v>
      </c>
      <c r="U48" s="65">
        <f>Таблица1[[#This Row],[Price]]*Таблица1[[#This Row],[Order]]</f>
        <v>1.6800000000000002</v>
      </c>
      <c r="V48" s="65">
        <f>Таблица1[[#This Row],[Cost(with labour)]]*Таблица1[[#This Row],[Order]]</f>
        <v>0.72780000000000011</v>
      </c>
      <c r="W48" s="67">
        <f>VLOOKUP($A48,'Mean order price'!$B$2:$H$10,7,0)</f>
        <v>10.5</v>
      </c>
      <c r="X48" s="68">
        <f t="shared" si="5"/>
        <v>0.52500000000000002</v>
      </c>
    </row>
    <row r="49" spans="1:24">
      <c r="A49" s="53" t="s">
        <v>50</v>
      </c>
      <c r="B49" s="54">
        <f t="shared" si="6"/>
        <v>46</v>
      </c>
      <c r="C49" s="53" t="s">
        <v>38</v>
      </c>
      <c r="D49" s="53" t="s">
        <v>41</v>
      </c>
      <c r="E49" s="59">
        <f>VLOOKUP('Menu and cost - USA by city'!D49,'Menu and cost - Russia'!$D$4:$P$29,2,FALSE)*(VLOOKUP('Menu and cost - USA by city'!A49,COGS!$B$3:$I$10,8,FALSE)/3)*0.4</f>
        <v>2.1</v>
      </c>
      <c r="F49" s="59">
        <f>SUMPRODUCT(H49:L49,'Mean order price'!$C$4:$G$4)*G49+P49*'Mean order price'!$H$4</f>
        <v>1.038</v>
      </c>
      <c r="G49" s="53">
        <v>0.1</v>
      </c>
      <c r="H49" s="60">
        <v>0.2</v>
      </c>
      <c r="I49" s="60">
        <v>0</v>
      </c>
      <c r="J49" s="60">
        <v>0.5</v>
      </c>
      <c r="K49" s="60">
        <v>0</v>
      </c>
      <c r="L49" s="60">
        <v>0.3</v>
      </c>
      <c r="M49" s="60">
        <f t="shared" si="7"/>
        <v>1</v>
      </c>
      <c r="N49" s="61">
        <v>60</v>
      </c>
      <c r="O49" s="62">
        <f t="shared" si="8"/>
        <v>1</v>
      </c>
      <c r="P49" s="62">
        <f t="shared" si="9"/>
        <v>1.6666666666666666E-2</v>
      </c>
      <c r="Q49" s="65">
        <f t="shared" si="3"/>
        <v>1.0620000000000001</v>
      </c>
      <c r="R49" s="66">
        <f>Таблица1[[#This Row],[Profit]]/Таблица1[[#This Row],[Price]]</f>
        <v>0.50571428571428567</v>
      </c>
      <c r="S49" s="60">
        <f>VLOOKUP($A49,'Order Composition'!$B$2:$F$10,MATCH($C49,'Order Composition'!$B$2:$F$2,0),0)</f>
        <v>0.4</v>
      </c>
      <c r="T49" s="65">
        <f t="shared" si="4"/>
        <v>0.42480000000000007</v>
      </c>
      <c r="U49" s="65">
        <f>Таблица1[[#This Row],[Price]]*Таблица1[[#This Row],[Order]]</f>
        <v>0.84000000000000008</v>
      </c>
      <c r="V49" s="65">
        <f>Таблица1[[#This Row],[Cost(with labour)]]*Таблица1[[#This Row],[Order]]</f>
        <v>0.41520000000000001</v>
      </c>
      <c r="W49" s="67">
        <f>VLOOKUP($A49,'Mean order price'!$B$2:$H$10,7,0)</f>
        <v>10.5</v>
      </c>
      <c r="X49" s="68">
        <f t="shared" si="5"/>
        <v>0.17499999999999999</v>
      </c>
    </row>
    <row r="50" spans="1:24">
      <c r="A50" s="53" t="s">
        <v>50</v>
      </c>
      <c r="B50" s="54">
        <f t="shared" si="6"/>
        <v>47</v>
      </c>
      <c r="C50" s="53" t="s">
        <v>11</v>
      </c>
      <c r="D50" s="53" t="s">
        <v>42</v>
      </c>
      <c r="E50" s="59">
        <f>VLOOKUP('Menu and cost - USA by city'!D50,'Menu and cost - Russia'!$D$4:$P$29,2,FALSE)*(VLOOKUP('Menu and cost - USA by city'!A50,COGS!$B$3:$I$10,8,FALSE)/3)*0.4</f>
        <v>2.1</v>
      </c>
      <c r="F50" s="59">
        <f>SUMPRODUCT(H50:L50,'Mean order price'!$C$4:$G$4)*G50+P50*'Mean order price'!$H$4</f>
        <v>0.99949999999999994</v>
      </c>
      <c r="G50" s="53">
        <v>0.2</v>
      </c>
      <c r="H50" s="60">
        <v>0</v>
      </c>
      <c r="I50" s="60">
        <v>0</v>
      </c>
      <c r="J50" s="60">
        <v>0</v>
      </c>
      <c r="K50" s="60">
        <v>1</v>
      </c>
      <c r="L50" s="60">
        <v>0</v>
      </c>
      <c r="M50" s="60">
        <f t="shared" si="7"/>
        <v>1</v>
      </c>
      <c r="N50" s="61">
        <v>120</v>
      </c>
      <c r="O50" s="62">
        <f t="shared" si="8"/>
        <v>0.5</v>
      </c>
      <c r="P50" s="62">
        <f t="shared" si="9"/>
        <v>8.3333333333333332E-3</v>
      </c>
      <c r="Q50" s="65">
        <f t="shared" si="3"/>
        <v>1.1005000000000003</v>
      </c>
      <c r="R50" s="66">
        <f>Таблица1[[#This Row],[Profit]]/Таблица1[[#This Row],[Price]]</f>
        <v>0.5240476190476191</v>
      </c>
      <c r="S50" s="60">
        <f>VLOOKUP($A50,'Order Composition'!$B$2:$F$10,MATCH($C50,'Order Composition'!$B$2:$F$2,0),0)</f>
        <v>0.8</v>
      </c>
      <c r="T50" s="65">
        <f t="shared" si="4"/>
        <v>0.88040000000000029</v>
      </c>
      <c r="U50" s="65">
        <f>Таблица1[[#This Row],[Price]]*Таблица1[[#This Row],[Order]]</f>
        <v>1.6800000000000002</v>
      </c>
      <c r="V50" s="65">
        <f>Таблица1[[#This Row],[Cost(with labour)]]*Таблица1[[#This Row],[Order]]</f>
        <v>0.79959999999999998</v>
      </c>
      <c r="W50" s="67">
        <f>VLOOKUP($A50,'Mean order price'!$B$2:$H$10,7,0)</f>
        <v>10.5</v>
      </c>
      <c r="X50" s="68">
        <f t="shared" si="5"/>
        <v>8.7499999999999994E-2</v>
      </c>
    </row>
    <row r="51" spans="1:24">
      <c r="A51" s="53" t="s">
        <v>50</v>
      </c>
      <c r="B51" s="54">
        <f t="shared" si="6"/>
        <v>48</v>
      </c>
      <c r="C51" s="53" t="s">
        <v>11</v>
      </c>
      <c r="D51" s="53" t="s">
        <v>43</v>
      </c>
      <c r="E51" s="59">
        <f>VLOOKUP('Menu and cost - USA by city'!D51,'Menu and cost - Russia'!$D$4:$P$29,2,FALSE)*(VLOOKUP('Menu and cost - USA by city'!A51,COGS!$B$3:$I$10,8,FALSE)/3)*0.4</f>
        <v>2.1</v>
      </c>
      <c r="F51" s="59">
        <f>SUMPRODUCT(H51:L51,'Mean order price'!$C$4:$G$4)*G51+P51*'Mean order price'!$H$4</f>
        <v>0.99949999999999994</v>
      </c>
      <c r="G51" s="53">
        <v>0.2</v>
      </c>
      <c r="H51" s="60">
        <v>0</v>
      </c>
      <c r="I51" s="60">
        <v>0</v>
      </c>
      <c r="J51" s="60">
        <v>0</v>
      </c>
      <c r="K51" s="60">
        <v>1</v>
      </c>
      <c r="L51" s="60">
        <v>0</v>
      </c>
      <c r="M51" s="60">
        <f t="shared" si="7"/>
        <v>1</v>
      </c>
      <c r="N51" s="61">
        <v>120</v>
      </c>
      <c r="O51" s="62">
        <f t="shared" si="8"/>
        <v>0.5</v>
      </c>
      <c r="P51" s="62">
        <f t="shared" si="9"/>
        <v>8.3333333333333332E-3</v>
      </c>
      <c r="Q51" s="65">
        <f t="shared" si="3"/>
        <v>1.1005000000000003</v>
      </c>
      <c r="R51" s="66">
        <f>Таблица1[[#This Row],[Profit]]/Таблица1[[#This Row],[Price]]</f>
        <v>0.5240476190476191</v>
      </c>
      <c r="S51" s="60">
        <f>VLOOKUP($A51,'Order Composition'!$B$2:$F$10,MATCH($C51,'Order Composition'!$B$2:$F$2,0),0)</f>
        <v>0.8</v>
      </c>
      <c r="T51" s="65">
        <f t="shared" si="4"/>
        <v>0.88040000000000029</v>
      </c>
      <c r="U51" s="65">
        <f>Таблица1[[#This Row],[Price]]*Таблица1[[#This Row],[Order]]</f>
        <v>1.6800000000000002</v>
      </c>
      <c r="V51" s="65">
        <f>Таблица1[[#This Row],[Cost(with labour)]]*Таблица1[[#This Row],[Order]]</f>
        <v>0.79959999999999998</v>
      </c>
      <c r="W51" s="67">
        <f>VLOOKUP($A51,'Mean order price'!$B$2:$H$10,7,0)</f>
        <v>10.5</v>
      </c>
      <c r="X51" s="68">
        <f t="shared" si="5"/>
        <v>8.7499999999999994E-2</v>
      </c>
    </row>
    <row r="52" spans="1:24">
      <c r="A52" s="53" t="s">
        <v>50</v>
      </c>
      <c r="B52" s="54">
        <f t="shared" si="6"/>
        <v>49</v>
      </c>
      <c r="C52" s="53" t="s">
        <v>11</v>
      </c>
      <c r="D52" s="53" t="s">
        <v>44</v>
      </c>
      <c r="E52" s="59">
        <f>VLOOKUP('Menu and cost - USA by city'!D52,'Menu and cost - Russia'!$D$4:$P$29,2,FALSE)*(VLOOKUP('Menu and cost - USA by city'!A52,COGS!$B$3:$I$10,8,FALSE)/3)*0.4</f>
        <v>2.8000000000000003</v>
      </c>
      <c r="F52" s="59">
        <f>SUMPRODUCT(H52:L52,'Mean order price'!$C$4:$G$4)*G52+P52*'Mean order price'!$H$4</f>
        <v>1.3582000000000001</v>
      </c>
      <c r="G52" s="53">
        <v>0.2</v>
      </c>
      <c r="H52" s="60">
        <v>0</v>
      </c>
      <c r="I52" s="60">
        <v>0</v>
      </c>
      <c r="J52" s="60">
        <v>0.2</v>
      </c>
      <c r="K52" s="60">
        <v>0.8</v>
      </c>
      <c r="L52" s="60">
        <v>0</v>
      </c>
      <c r="M52" s="60">
        <f t="shared" si="7"/>
        <v>1</v>
      </c>
      <c r="N52" s="61">
        <v>60</v>
      </c>
      <c r="O52" s="62">
        <f t="shared" si="8"/>
        <v>1</v>
      </c>
      <c r="P52" s="62">
        <f t="shared" si="9"/>
        <v>1.6666666666666666E-2</v>
      </c>
      <c r="Q52" s="65">
        <f t="shared" si="3"/>
        <v>1.4418000000000002</v>
      </c>
      <c r="R52" s="66">
        <f>Таблица1[[#This Row],[Profit]]/Таблица1[[#This Row],[Price]]</f>
        <v>0.5149285714285714</v>
      </c>
      <c r="S52" s="60">
        <f>VLOOKUP($A52,'Order Composition'!$B$2:$F$10,MATCH($C52,'Order Composition'!$B$2:$F$2,0),0)</f>
        <v>0.8</v>
      </c>
      <c r="T52" s="65">
        <f t="shared" si="4"/>
        <v>1.1534400000000002</v>
      </c>
      <c r="U52" s="65">
        <f>Таблица1[[#This Row],[Price]]*Таблица1[[#This Row],[Order]]</f>
        <v>2.2400000000000002</v>
      </c>
      <c r="V52" s="65">
        <f>Таблица1[[#This Row],[Cost(with labour)]]*Таблица1[[#This Row],[Order]]</f>
        <v>1.0865600000000002</v>
      </c>
      <c r="W52" s="67">
        <f>VLOOKUP($A52,'Mean order price'!$B$2:$H$10,7,0)</f>
        <v>10.5</v>
      </c>
      <c r="X52" s="68">
        <f t="shared" si="5"/>
        <v>0.17499999999999999</v>
      </c>
    </row>
    <row r="53" spans="1:24">
      <c r="A53" s="53" t="s">
        <v>50</v>
      </c>
      <c r="B53" s="54">
        <f t="shared" si="6"/>
        <v>50</v>
      </c>
      <c r="C53" s="53" t="s">
        <v>11</v>
      </c>
      <c r="D53" s="53" t="s">
        <v>45</v>
      </c>
      <c r="E53" s="59">
        <f>VLOOKUP('Menu and cost - USA by city'!D53,'Menu and cost - Russia'!$D$4:$P$29,2,FALSE)*(VLOOKUP('Menu and cost - USA by city'!A53,COGS!$B$3:$I$10,8,FALSE)/3)*0.4</f>
        <v>2.8000000000000003</v>
      </c>
      <c r="F53" s="59">
        <f>SUMPRODUCT(H53:L53,'Mean order price'!$C$4:$G$4)*G53+P53*'Mean order price'!$H$4</f>
        <v>1.3582000000000001</v>
      </c>
      <c r="G53" s="53">
        <v>0.2</v>
      </c>
      <c r="H53" s="60">
        <v>0</v>
      </c>
      <c r="I53" s="60">
        <v>0</v>
      </c>
      <c r="J53" s="60">
        <v>0.2</v>
      </c>
      <c r="K53" s="60">
        <v>0.8</v>
      </c>
      <c r="L53" s="60">
        <v>0</v>
      </c>
      <c r="M53" s="60">
        <f t="shared" si="7"/>
        <v>1</v>
      </c>
      <c r="N53" s="61">
        <v>60</v>
      </c>
      <c r="O53" s="62">
        <f t="shared" si="8"/>
        <v>1</v>
      </c>
      <c r="P53" s="62">
        <f t="shared" si="9"/>
        <v>1.6666666666666666E-2</v>
      </c>
      <c r="Q53" s="65">
        <f t="shared" si="3"/>
        <v>1.4418000000000002</v>
      </c>
      <c r="R53" s="66">
        <f>Таблица1[[#This Row],[Profit]]/Таблица1[[#This Row],[Price]]</f>
        <v>0.5149285714285714</v>
      </c>
      <c r="S53" s="60">
        <f>VLOOKUP($A53,'Order Composition'!$B$2:$F$10,MATCH($C53,'Order Composition'!$B$2:$F$2,0),0)</f>
        <v>0.8</v>
      </c>
      <c r="T53" s="65">
        <f t="shared" si="4"/>
        <v>1.1534400000000002</v>
      </c>
      <c r="U53" s="65">
        <f>Таблица1[[#This Row],[Price]]*Таблица1[[#This Row],[Order]]</f>
        <v>2.2400000000000002</v>
      </c>
      <c r="V53" s="65">
        <f>Таблица1[[#This Row],[Cost(with labour)]]*Таблица1[[#This Row],[Order]]</f>
        <v>1.0865600000000002</v>
      </c>
      <c r="W53" s="67">
        <f>VLOOKUP($A53,'Mean order price'!$B$2:$H$10,7,0)</f>
        <v>10.5</v>
      </c>
      <c r="X53" s="68">
        <f t="shared" si="5"/>
        <v>0.17499999999999999</v>
      </c>
    </row>
    <row r="54" spans="1:24">
      <c r="A54" s="53" t="s">
        <v>50</v>
      </c>
      <c r="B54" s="54">
        <f t="shared" si="6"/>
        <v>51</v>
      </c>
      <c r="C54" s="53" t="s">
        <v>11</v>
      </c>
      <c r="D54" s="53" t="s">
        <v>46</v>
      </c>
      <c r="E54" s="59">
        <f>VLOOKUP('Menu and cost - USA by city'!D54,'Menu and cost - Russia'!$D$4:$P$29,2,FALSE)*(VLOOKUP('Menu and cost - USA by city'!A54,COGS!$B$3:$I$10,8,FALSE)/3)*0.4</f>
        <v>2.1</v>
      </c>
      <c r="F54" s="59">
        <f>SUMPRODUCT(H54:L54,'Mean order price'!$C$4:$G$4)*G54+P54*'Mean order price'!$H$4</f>
        <v>1.1744999999999999</v>
      </c>
      <c r="G54" s="53">
        <v>0.2</v>
      </c>
      <c r="H54" s="60">
        <v>0</v>
      </c>
      <c r="I54" s="60">
        <v>0</v>
      </c>
      <c r="J54" s="60">
        <v>0</v>
      </c>
      <c r="K54" s="60">
        <v>1</v>
      </c>
      <c r="L54" s="60">
        <v>0</v>
      </c>
      <c r="M54" s="60">
        <f t="shared" si="7"/>
        <v>1</v>
      </c>
      <c r="N54" s="61">
        <v>40</v>
      </c>
      <c r="O54" s="62">
        <f t="shared" si="8"/>
        <v>1.5</v>
      </c>
      <c r="P54" s="62">
        <f t="shared" si="9"/>
        <v>2.5000000000000001E-2</v>
      </c>
      <c r="Q54" s="65">
        <f t="shared" si="3"/>
        <v>0.92550000000000021</v>
      </c>
      <c r="R54" s="66">
        <f>Таблица1[[#This Row],[Profit]]/Таблица1[[#This Row],[Price]]</f>
        <v>0.44071428571428578</v>
      </c>
      <c r="S54" s="60">
        <f>VLOOKUP($A54,'Order Composition'!$B$2:$F$10,MATCH($C54,'Order Composition'!$B$2:$F$2,0),0)</f>
        <v>0.8</v>
      </c>
      <c r="T54" s="65">
        <f t="shared" si="4"/>
        <v>0.74040000000000017</v>
      </c>
      <c r="U54" s="65">
        <f>Таблица1[[#This Row],[Price]]*Таблица1[[#This Row],[Order]]</f>
        <v>1.6800000000000002</v>
      </c>
      <c r="V54" s="65">
        <f>Таблица1[[#This Row],[Cost(with labour)]]*Таблица1[[#This Row],[Order]]</f>
        <v>0.93959999999999999</v>
      </c>
      <c r="W54" s="67">
        <f>VLOOKUP($A54,'Mean order price'!$B$2:$H$10,7,0)</f>
        <v>10.5</v>
      </c>
      <c r="X54" s="68">
        <f t="shared" si="5"/>
        <v>0.26250000000000001</v>
      </c>
    </row>
    <row r="55" spans="1:24">
      <c r="A55" s="53" t="s">
        <v>50</v>
      </c>
      <c r="B55" s="54">
        <f t="shared" si="6"/>
        <v>52</v>
      </c>
      <c r="C55" s="53" t="s">
        <v>11</v>
      </c>
      <c r="D55" s="53" t="s">
        <v>47</v>
      </c>
      <c r="E55" s="59">
        <f>VLOOKUP('Menu and cost - USA by city'!D55,'Menu and cost - Russia'!$D$4:$P$29,2,FALSE)*(VLOOKUP('Menu and cost - USA by city'!A55,COGS!$B$3:$I$10,8,FALSE)/3)*0.4</f>
        <v>2.1</v>
      </c>
      <c r="F55" s="59">
        <f>SUMPRODUCT(H55:L55,'Mean order price'!$C$4:$G$4)*G55+P55*'Mean order price'!$H$4</f>
        <v>1.3101</v>
      </c>
      <c r="G55" s="53">
        <v>0.2</v>
      </c>
      <c r="H55" s="60">
        <v>0</v>
      </c>
      <c r="I55" s="60">
        <v>0</v>
      </c>
      <c r="J55" s="60">
        <v>0.1</v>
      </c>
      <c r="K55" s="60">
        <v>0.9</v>
      </c>
      <c r="L55" s="60">
        <v>0</v>
      </c>
      <c r="M55" s="60">
        <f t="shared" si="7"/>
        <v>1</v>
      </c>
      <c r="N55" s="61">
        <v>40</v>
      </c>
      <c r="O55" s="62">
        <f t="shared" si="8"/>
        <v>1.5</v>
      </c>
      <c r="P55" s="62">
        <f t="shared" si="9"/>
        <v>2.5000000000000001E-2</v>
      </c>
      <c r="Q55" s="65">
        <f t="shared" si="3"/>
        <v>0.78990000000000005</v>
      </c>
      <c r="R55" s="66">
        <f>Таблица1[[#This Row],[Profit]]/Таблица1[[#This Row],[Price]]</f>
        <v>0.37614285714285717</v>
      </c>
      <c r="S55" s="60">
        <f>VLOOKUP($A55,'Order Composition'!$B$2:$F$10,MATCH($C55,'Order Composition'!$B$2:$F$2,0),0)</f>
        <v>0.8</v>
      </c>
      <c r="T55" s="65">
        <f t="shared" si="4"/>
        <v>0.63192000000000004</v>
      </c>
      <c r="U55" s="65">
        <f>Таблица1[[#This Row],[Price]]*Таблица1[[#This Row],[Order]]</f>
        <v>1.6800000000000002</v>
      </c>
      <c r="V55" s="65">
        <f>Таблица1[[#This Row],[Cost(with labour)]]*Таблица1[[#This Row],[Order]]</f>
        <v>1.0480800000000001</v>
      </c>
      <c r="W55" s="67">
        <f>VLOOKUP($A55,'Mean order price'!$B$2:$H$10,7,0)</f>
        <v>10.5</v>
      </c>
      <c r="X55" s="68">
        <f t="shared" si="5"/>
        <v>0.26250000000000001</v>
      </c>
    </row>
    <row r="56" spans="1:24">
      <c r="A56" s="53" t="s">
        <v>51</v>
      </c>
      <c r="B56" s="54">
        <f t="shared" si="6"/>
        <v>53</v>
      </c>
      <c r="C56" s="53" t="s">
        <v>19</v>
      </c>
      <c r="D56" s="53" t="s">
        <v>20</v>
      </c>
      <c r="E56" s="59">
        <f>VLOOKUP('Menu and cost - USA by city'!D56,'Menu and cost - Russia'!$D$4:$P$29,2,FALSE)*(VLOOKUP('Menu and cost - USA by city'!A56,COGS!$B$3:$I$10,8,FALSE)/3)*0.4</f>
        <v>4.4000000000000004</v>
      </c>
      <c r="F56" s="59">
        <f>SUMPRODUCT(H56:L56,'Mean order price'!$C$5:$G$5)*G56+P56*'Mean order price'!$H$5</f>
        <v>2.9050000000000002</v>
      </c>
      <c r="G56" s="53">
        <v>0.2</v>
      </c>
      <c r="H56" s="60">
        <v>0</v>
      </c>
      <c r="I56" s="60">
        <v>0</v>
      </c>
      <c r="J56" s="60">
        <v>0.9</v>
      </c>
      <c r="K56" s="60">
        <v>0</v>
      </c>
      <c r="L56" s="60">
        <v>0.1</v>
      </c>
      <c r="M56" s="60">
        <f t="shared" si="7"/>
        <v>1</v>
      </c>
      <c r="N56" s="61">
        <v>20</v>
      </c>
      <c r="O56" s="62">
        <f t="shared" si="8"/>
        <v>3</v>
      </c>
      <c r="P56" s="62">
        <f t="shared" si="9"/>
        <v>0.05</v>
      </c>
      <c r="Q56" s="65">
        <f t="shared" si="3"/>
        <v>1.4950000000000001</v>
      </c>
      <c r="R56" s="66">
        <f>Таблица1[[#This Row],[Profit]]/Таблица1[[#This Row],[Price]]</f>
        <v>0.33977272727272728</v>
      </c>
      <c r="S56" s="60">
        <f>VLOOKUP($A56,'Order Composition'!$B$2:$F$10,MATCH($C56,'Order Composition'!$B$2:$F$2,0),0)</f>
        <v>0.4</v>
      </c>
      <c r="T56" s="65">
        <f t="shared" si="4"/>
        <v>0.59800000000000009</v>
      </c>
      <c r="U56" s="65">
        <f>Таблица1[[#This Row],[Price]]*Таблица1[[#This Row],[Order]]</f>
        <v>1.7600000000000002</v>
      </c>
      <c r="V56" s="65">
        <f>Таблица1[[#This Row],[Cost(with labour)]]*Таблица1[[#This Row],[Order]]</f>
        <v>1.1620000000000001</v>
      </c>
      <c r="W56" s="67">
        <f>VLOOKUP($A56,'Mean order price'!$B$2:$H$10,7,0)</f>
        <v>11</v>
      </c>
      <c r="X56" s="68">
        <f t="shared" si="5"/>
        <v>0.55000000000000004</v>
      </c>
    </row>
    <row r="57" spans="1:24">
      <c r="A57" s="53" t="s">
        <v>51</v>
      </c>
      <c r="B57" s="54">
        <f t="shared" si="6"/>
        <v>54</v>
      </c>
      <c r="C57" s="53" t="s">
        <v>19</v>
      </c>
      <c r="D57" s="53" t="s">
        <v>21</v>
      </c>
      <c r="E57" s="59">
        <f>VLOOKUP('Menu and cost - USA by city'!D57,'Menu and cost - Russia'!$D$4:$P$29,2,FALSE)*(VLOOKUP('Menu and cost - USA by city'!A57,COGS!$B$3:$I$10,8,FALSE)/3)*0.4</f>
        <v>4.4000000000000004</v>
      </c>
      <c r="F57" s="59">
        <f>SUMPRODUCT(H57:L57,'Mean order price'!$C$5:$G$5)*G57+P57*'Mean order price'!$H$5</f>
        <v>2.9589999999999996</v>
      </c>
      <c r="G57" s="53">
        <v>0.2</v>
      </c>
      <c r="H57" s="60">
        <v>0</v>
      </c>
      <c r="I57" s="60">
        <v>0.2</v>
      </c>
      <c r="J57" s="60">
        <v>0.7</v>
      </c>
      <c r="K57" s="60">
        <v>0</v>
      </c>
      <c r="L57" s="60">
        <v>0.1</v>
      </c>
      <c r="M57" s="60">
        <f t="shared" ref="M57:M82" si="10">SUM(H57:L57)</f>
        <v>0.99999999999999989</v>
      </c>
      <c r="N57" s="61">
        <v>20</v>
      </c>
      <c r="O57" s="62">
        <f t="shared" ref="O57:O82" si="11">60/N57</f>
        <v>3</v>
      </c>
      <c r="P57" s="62">
        <f t="shared" ref="P57:P82" si="12">O57/60</f>
        <v>0.05</v>
      </c>
      <c r="Q57" s="65">
        <f t="shared" si="3"/>
        <v>1.4410000000000007</v>
      </c>
      <c r="R57" s="66">
        <f>Таблица1[[#This Row],[Profit]]/Таблица1[[#This Row],[Price]]</f>
        <v>0.32750000000000012</v>
      </c>
      <c r="S57" s="60">
        <f>VLOOKUP($A57,'Order Composition'!$B$2:$F$10,MATCH($C57,'Order Composition'!$B$2:$F$2,0),0)</f>
        <v>0.4</v>
      </c>
      <c r="T57" s="65">
        <f t="shared" si="4"/>
        <v>0.57640000000000036</v>
      </c>
      <c r="U57" s="65">
        <f>Таблица1[[#This Row],[Price]]*Таблица1[[#This Row],[Order]]</f>
        <v>1.7600000000000002</v>
      </c>
      <c r="V57" s="65">
        <f>Таблица1[[#This Row],[Cost(with labour)]]*Таблица1[[#This Row],[Order]]</f>
        <v>1.1836</v>
      </c>
      <c r="W57" s="67">
        <f>VLOOKUP($A57,'Mean order price'!$B$2:$H$10,7,0)</f>
        <v>11</v>
      </c>
      <c r="X57" s="68">
        <f t="shared" si="5"/>
        <v>0.55000000000000004</v>
      </c>
    </row>
    <row r="58" spans="1:24">
      <c r="A58" s="53" t="s">
        <v>51</v>
      </c>
      <c r="B58" s="54">
        <f t="shared" si="6"/>
        <v>55</v>
      </c>
      <c r="C58" s="53" t="s">
        <v>19</v>
      </c>
      <c r="D58" s="53" t="s">
        <v>22</v>
      </c>
      <c r="E58" s="59">
        <f>VLOOKUP('Menu and cost - USA by city'!D58,'Menu and cost - Russia'!$D$4:$P$29,2,FALSE)*(VLOOKUP('Menu and cost - USA by city'!A58,COGS!$B$3:$I$10,8,FALSE)/3)*0.4</f>
        <v>4.4000000000000004</v>
      </c>
      <c r="F58" s="59">
        <f>SUMPRODUCT(H58:L58,'Mean order price'!$C$5:$G$5)*G58+P58*'Mean order price'!$H$5</f>
        <v>3.04</v>
      </c>
      <c r="G58" s="53">
        <v>0.2</v>
      </c>
      <c r="H58" s="60">
        <v>0</v>
      </c>
      <c r="I58" s="60">
        <v>0.5</v>
      </c>
      <c r="J58" s="60">
        <v>0.4</v>
      </c>
      <c r="K58" s="60">
        <v>0</v>
      </c>
      <c r="L58" s="60">
        <v>0.1</v>
      </c>
      <c r="M58" s="60">
        <f t="shared" si="10"/>
        <v>1</v>
      </c>
      <c r="N58" s="61">
        <v>20</v>
      </c>
      <c r="O58" s="62">
        <f t="shared" si="11"/>
        <v>3</v>
      </c>
      <c r="P58" s="62">
        <f t="shared" si="12"/>
        <v>0.05</v>
      </c>
      <c r="Q58" s="65">
        <f t="shared" si="3"/>
        <v>1.3600000000000003</v>
      </c>
      <c r="R58" s="66">
        <f>Таблица1[[#This Row],[Profit]]/Таблица1[[#This Row],[Price]]</f>
        <v>0.30909090909090914</v>
      </c>
      <c r="S58" s="60">
        <f>VLOOKUP($A58,'Order Composition'!$B$2:$F$10,MATCH($C58,'Order Composition'!$B$2:$F$2,0),0)</f>
        <v>0.4</v>
      </c>
      <c r="T58" s="65">
        <f t="shared" si="4"/>
        <v>0.54400000000000015</v>
      </c>
      <c r="U58" s="65">
        <f>Таблица1[[#This Row],[Price]]*Таблица1[[#This Row],[Order]]</f>
        <v>1.7600000000000002</v>
      </c>
      <c r="V58" s="65">
        <f>Таблица1[[#This Row],[Cost(with labour)]]*Таблица1[[#This Row],[Order]]</f>
        <v>1.2160000000000002</v>
      </c>
      <c r="W58" s="67">
        <f>VLOOKUP($A58,'Mean order price'!$B$2:$H$10,7,0)</f>
        <v>11</v>
      </c>
      <c r="X58" s="68">
        <f t="shared" si="5"/>
        <v>0.55000000000000004</v>
      </c>
    </row>
    <row r="59" spans="1:24">
      <c r="A59" s="53" t="s">
        <v>51</v>
      </c>
      <c r="B59" s="54">
        <f t="shared" si="6"/>
        <v>56</v>
      </c>
      <c r="C59" s="53" t="s">
        <v>19</v>
      </c>
      <c r="D59" s="53" t="s">
        <v>23</v>
      </c>
      <c r="E59" s="59">
        <f>VLOOKUP('Menu and cost - USA by city'!D59,'Menu and cost - Russia'!$D$4:$P$29,2,FALSE)*(VLOOKUP('Menu and cost - USA by city'!A59,COGS!$B$3:$I$10,8,FALSE)/3)*0.4</f>
        <v>2.9333333333333336</v>
      </c>
      <c r="F59" s="59">
        <f>SUMPRODUCT(H59:L59,'Mean order price'!$C$5:$G$5)*G59+P59*'Mean order price'!$H$5</f>
        <v>1.8639333333333339</v>
      </c>
      <c r="G59" s="53">
        <v>0.2</v>
      </c>
      <c r="H59" s="60">
        <v>0.1</v>
      </c>
      <c r="I59" s="60">
        <v>0</v>
      </c>
      <c r="J59" s="60">
        <v>0.4</v>
      </c>
      <c r="K59" s="60">
        <v>0.1</v>
      </c>
      <c r="L59" s="60">
        <v>0.4</v>
      </c>
      <c r="M59" s="60">
        <f t="shared" si="10"/>
        <v>1</v>
      </c>
      <c r="N59" s="61">
        <v>60</v>
      </c>
      <c r="O59" s="62">
        <f t="shared" si="11"/>
        <v>1</v>
      </c>
      <c r="P59" s="62">
        <f t="shared" si="12"/>
        <v>1.6666666666666666E-2</v>
      </c>
      <c r="Q59" s="65">
        <f t="shared" si="3"/>
        <v>1.0693999999999997</v>
      </c>
      <c r="R59" s="66">
        <f>Таблица1[[#This Row],[Profit]]/Таблица1[[#This Row],[Price]]</f>
        <v>0.36456818181818168</v>
      </c>
      <c r="S59" s="60">
        <f>VLOOKUP($A59,'Order Composition'!$B$2:$F$10,MATCH($C59,'Order Composition'!$B$2:$F$2,0),0)</f>
        <v>0.4</v>
      </c>
      <c r="T59" s="65">
        <f t="shared" si="4"/>
        <v>0.42775999999999992</v>
      </c>
      <c r="U59" s="65">
        <f>Таблица1[[#This Row],[Price]]*Таблица1[[#This Row],[Order]]</f>
        <v>1.1733333333333336</v>
      </c>
      <c r="V59" s="65">
        <f>Таблица1[[#This Row],[Cost(with labour)]]*Таблица1[[#This Row],[Order]]</f>
        <v>0.74557333333333364</v>
      </c>
      <c r="W59" s="67">
        <f>VLOOKUP($A59,'Mean order price'!$B$2:$H$10,7,0)</f>
        <v>11</v>
      </c>
      <c r="X59" s="68">
        <f t="shared" si="5"/>
        <v>0.18333333333333332</v>
      </c>
    </row>
    <row r="60" spans="1:24">
      <c r="A60" s="53" t="s">
        <v>51</v>
      </c>
      <c r="B60" s="54">
        <f t="shared" si="6"/>
        <v>57</v>
      </c>
      <c r="C60" s="53" t="s">
        <v>19</v>
      </c>
      <c r="D60" s="53" t="s">
        <v>24</v>
      </c>
      <c r="E60" s="59">
        <f>VLOOKUP('Menu and cost - USA by city'!D60,'Menu and cost - Russia'!$D$4:$P$29,2,FALSE)*(VLOOKUP('Menu and cost - USA by city'!A60,COGS!$B$3:$I$10,8,FALSE)/3)*0.4</f>
        <v>2.9333333333333336</v>
      </c>
      <c r="F60" s="59">
        <f>SUMPRODUCT(H60:L60,'Mean order price'!$C$5:$G$5)*G60+P60*'Mean order price'!$H$5</f>
        <v>2.0529333333333333</v>
      </c>
      <c r="G60" s="53">
        <v>0.2</v>
      </c>
      <c r="H60" s="60">
        <v>0.1</v>
      </c>
      <c r="I60" s="60">
        <v>0.2</v>
      </c>
      <c r="J60" s="60">
        <v>0.3</v>
      </c>
      <c r="K60" s="60">
        <v>0.1</v>
      </c>
      <c r="L60" s="60">
        <v>0.3</v>
      </c>
      <c r="M60" s="60">
        <f t="shared" si="10"/>
        <v>1</v>
      </c>
      <c r="N60" s="61">
        <v>60</v>
      </c>
      <c r="O60" s="62">
        <f t="shared" si="11"/>
        <v>1</v>
      </c>
      <c r="P60" s="62">
        <f t="shared" si="12"/>
        <v>1.6666666666666666E-2</v>
      </c>
      <c r="Q60" s="65">
        <f t="shared" si="3"/>
        <v>0.88040000000000029</v>
      </c>
      <c r="R60" s="66">
        <f>Таблица1[[#This Row],[Profit]]/Таблица1[[#This Row],[Price]]</f>
        <v>0.3001363636363637</v>
      </c>
      <c r="S60" s="60">
        <f>VLOOKUP($A60,'Order Composition'!$B$2:$F$10,MATCH($C60,'Order Composition'!$B$2:$F$2,0),0)</f>
        <v>0.4</v>
      </c>
      <c r="T60" s="65">
        <f t="shared" si="4"/>
        <v>0.35216000000000014</v>
      </c>
      <c r="U60" s="65">
        <f>Таблица1[[#This Row],[Price]]*Таблица1[[#This Row],[Order]]</f>
        <v>1.1733333333333336</v>
      </c>
      <c r="V60" s="65">
        <f>Таблица1[[#This Row],[Cost(with labour)]]*Таблица1[[#This Row],[Order]]</f>
        <v>0.82117333333333331</v>
      </c>
      <c r="W60" s="67">
        <f>VLOOKUP($A60,'Mean order price'!$B$2:$H$10,7,0)</f>
        <v>11</v>
      </c>
      <c r="X60" s="68">
        <f t="shared" si="5"/>
        <v>0.18333333333333332</v>
      </c>
    </row>
    <row r="61" spans="1:24">
      <c r="A61" s="53" t="s">
        <v>51</v>
      </c>
      <c r="B61" s="54">
        <f t="shared" si="6"/>
        <v>58</v>
      </c>
      <c r="C61" s="53" t="s">
        <v>19</v>
      </c>
      <c r="D61" s="53" t="s">
        <v>25</v>
      </c>
      <c r="E61" s="59">
        <f>VLOOKUP('Menu and cost - USA by city'!D61,'Menu and cost - Russia'!$D$4:$P$29,2,FALSE)*(VLOOKUP('Menu and cost - USA by city'!A61,COGS!$B$3:$I$10,8,FALSE)/3)*0.4</f>
        <v>1.4666666666666668</v>
      </c>
      <c r="F61" s="59">
        <f>SUMPRODUCT(H61:L61,'Mean order price'!$C$5:$G$5)*G61+P61*'Mean order price'!$H$5</f>
        <v>1.4457166666666665</v>
      </c>
      <c r="G61" s="53">
        <v>0.1</v>
      </c>
      <c r="H61" s="60">
        <v>0.1</v>
      </c>
      <c r="I61" s="60">
        <v>0</v>
      </c>
      <c r="J61" s="60">
        <v>0.75</v>
      </c>
      <c r="K61" s="60">
        <v>0.05</v>
      </c>
      <c r="L61" s="60">
        <v>0.1</v>
      </c>
      <c r="M61" s="60">
        <f t="shared" si="10"/>
        <v>1</v>
      </c>
      <c r="N61" s="61">
        <v>30</v>
      </c>
      <c r="O61" s="62">
        <f t="shared" si="11"/>
        <v>2</v>
      </c>
      <c r="P61" s="62">
        <f t="shared" si="12"/>
        <v>3.3333333333333333E-2</v>
      </c>
      <c r="Q61" s="65">
        <f t="shared" si="3"/>
        <v>2.0950000000000246E-2</v>
      </c>
      <c r="R61" s="66">
        <f>Таблица1[[#This Row],[Profit]]/Таблица1[[#This Row],[Price]]</f>
        <v>1.4284090909091076E-2</v>
      </c>
      <c r="S61" s="60">
        <f>VLOOKUP($A61,'Order Composition'!$B$2:$F$10,MATCH($C61,'Order Composition'!$B$2:$F$2,0),0)</f>
        <v>0.4</v>
      </c>
      <c r="T61" s="65">
        <f t="shared" si="4"/>
        <v>8.3800000000000992E-3</v>
      </c>
      <c r="U61" s="65">
        <f>Таблица1[[#This Row],[Price]]*Таблица1[[#This Row],[Order]]</f>
        <v>0.58666666666666678</v>
      </c>
      <c r="V61" s="65">
        <f>Таблица1[[#This Row],[Cost(with labour)]]*Таблица1[[#This Row],[Order]]</f>
        <v>0.57828666666666662</v>
      </c>
      <c r="W61" s="67">
        <f>VLOOKUP($A61,'Mean order price'!$B$2:$H$10,7,0)</f>
        <v>11</v>
      </c>
      <c r="X61" s="68">
        <f t="shared" si="5"/>
        <v>0.36666666666666664</v>
      </c>
    </row>
    <row r="62" spans="1:24">
      <c r="A62" s="53" t="s">
        <v>51</v>
      </c>
      <c r="B62" s="54">
        <f t="shared" si="6"/>
        <v>59</v>
      </c>
      <c r="C62" s="53" t="s">
        <v>19</v>
      </c>
      <c r="D62" s="53" t="s">
        <v>26</v>
      </c>
      <c r="E62" s="59">
        <f>VLOOKUP('Menu and cost - USA by city'!D62,'Menu and cost - Russia'!$D$4:$P$29,2,FALSE)*(VLOOKUP('Menu and cost - USA by city'!A62,COGS!$B$3:$I$10,8,FALSE)/3)*0.4</f>
        <v>1.4666666666666668</v>
      </c>
      <c r="F62" s="59">
        <f>SUMPRODUCT(H62:L62,'Mean order price'!$C$5:$G$5)*G62+P62*'Mean order price'!$H$5</f>
        <v>1.5132166666666669</v>
      </c>
      <c r="G62" s="53">
        <v>0.1</v>
      </c>
      <c r="H62" s="60">
        <v>0.1</v>
      </c>
      <c r="I62" s="60">
        <v>0.5</v>
      </c>
      <c r="J62" s="60">
        <v>0.25</v>
      </c>
      <c r="K62" s="60">
        <v>0.05</v>
      </c>
      <c r="L62" s="60">
        <v>0.1</v>
      </c>
      <c r="M62" s="60">
        <f t="shared" si="10"/>
        <v>1</v>
      </c>
      <c r="N62" s="61">
        <v>30</v>
      </c>
      <c r="O62" s="62">
        <f t="shared" si="11"/>
        <v>2</v>
      </c>
      <c r="P62" s="62">
        <f t="shared" si="12"/>
        <v>3.3333333333333333E-2</v>
      </c>
      <c r="Q62" s="65">
        <f t="shared" si="3"/>
        <v>-4.6550000000000091E-2</v>
      </c>
      <c r="R62" s="66">
        <f>Таблица1[[#This Row],[Profit]]/Таблица1[[#This Row],[Price]]</f>
        <v>-3.173863636363642E-2</v>
      </c>
      <c r="S62" s="60">
        <f>VLOOKUP($A62,'Order Composition'!$B$2:$F$10,MATCH($C62,'Order Composition'!$B$2:$F$2,0),0)</f>
        <v>0.4</v>
      </c>
      <c r="T62" s="65">
        <f t="shared" si="4"/>
        <v>-1.8620000000000036E-2</v>
      </c>
      <c r="U62" s="65">
        <f>Таблица1[[#This Row],[Price]]*Таблица1[[#This Row],[Order]]</f>
        <v>0.58666666666666678</v>
      </c>
      <c r="V62" s="65">
        <f>Таблица1[[#This Row],[Cost(with labour)]]*Таблица1[[#This Row],[Order]]</f>
        <v>0.60528666666666675</v>
      </c>
      <c r="W62" s="67">
        <f>VLOOKUP($A62,'Mean order price'!$B$2:$H$10,7,0)</f>
        <v>11</v>
      </c>
      <c r="X62" s="68">
        <f t="shared" si="5"/>
        <v>0.36666666666666664</v>
      </c>
    </row>
    <row r="63" spans="1:24">
      <c r="A63" s="53" t="s">
        <v>51</v>
      </c>
      <c r="B63" s="54">
        <f t="shared" si="6"/>
        <v>60</v>
      </c>
      <c r="C63" s="53" t="s">
        <v>27</v>
      </c>
      <c r="D63" s="53" t="s">
        <v>28</v>
      </c>
      <c r="E63" s="59">
        <f>VLOOKUP('Menu and cost - USA by city'!D63,'Menu and cost - Russia'!$D$4:$P$29,2,FALSE)*(VLOOKUP('Menu and cost - USA by city'!A63,COGS!$B$3:$I$10,8,FALSE)/3)*0.4</f>
        <v>4.4000000000000004</v>
      </c>
      <c r="F63" s="59">
        <f>SUMPRODUCT(H63:L63,'Mean order price'!$C$5:$G$5)*G63+P63*'Mean order price'!$H$5</f>
        <v>2.8914333333333331</v>
      </c>
      <c r="G63" s="53">
        <v>0.2</v>
      </c>
      <c r="H63" s="60">
        <v>0.1</v>
      </c>
      <c r="I63" s="60">
        <v>0</v>
      </c>
      <c r="J63" s="60">
        <v>0.75</v>
      </c>
      <c r="K63" s="60">
        <v>0.05</v>
      </c>
      <c r="L63" s="60">
        <v>0.1</v>
      </c>
      <c r="M63" s="60">
        <f t="shared" si="10"/>
        <v>1</v>
      </c>
      <c r="N63" s="61">
        <v>15</v>
      </c>
      <c r="O63" s="62">
        <f t="shared" si="11"/>
        <v>4</v>
      </c>
      <c r="P63" s="62">
        <f t="shared" si="12"/>
        <v>6.6666666666666666E-2</v>
      </c>
      <c r="Q63" s="65">
        <f t="shared" si="3"/>
        <v>1.5085666666666673</v>
      </c>
      <c r="R63" s="66">
        <f>Таблица1[[#This Row],[Profit]]/Таблица1[[#This Row],[Price]]</f>
        <v>0.34285606060606072</v>
      </c>
      <c r="S63" s="60">
        <f>VLOOKUP($A63,'Order Composition'!$B$2:$F$10,MATCH($C63,'Order Composition'!$B$2:$F$2,0),0)</f>
        <v>0.85</v>
      </c>
      <c r="T63" s="65">
        <f t="shared" si="4"/>
        <v>1.2822816666666672</v>
      </c>
      <c r="U63" s="65">
        <f>Таблица1[[#This Row],[Price]]*Таблица1[[#This Row],[Order]]</f>
        <v>3.74</v>
      </c>
      <c r="V63" s="65">
        <f>Таблица1[[#This Row],[Cost(with labour)]]*Таблица1[[#This Row],[Order]]</f>
        <v>2.4577183333333332</v>
      </c>
      <c r="W63" s="67">
        <f>VLOOKUP($A63,'Mean order price'!$B$2:$H$10,7,0)</f>
        <v>11</v>
      </c>
      <c r="X63" s="68">
        <f t="shared" si="5"/>
        <v>0.73333333333333328</v>
      </c>
    </row>
    <row r="64" spans="1:24">
      <c r="A64" s="53" t="s">
        <v>51</v>
      </c>
      <c r="B64" s="54">
        <f t="shared" si="6"/>
        <v>61</v>
      </c>
      <c r="C64" s="53" t="s">
        <v>27</v>
      </c>
      <c r="D64" s="53" t="s">
        <v>29</v>
      </c>
      <c r="E64" s="59">
        <f>VLOOKUP('Menu and cost - USA by city'!D64,'Menu and cost - Russia'!$D$4:$P$29,2,FALSE)*(VLOOKUP('Menu and cost - USA by city'!A64,COGS!$B$3:$I$10,8,FALSE)/3)*0.4</f>
        <v>4.4000000000000004</v>
      </c>
      <c r="F64" s="59">
        <f>SUMPRODUCT(H64:L64,'Mean order price'!$C$5:$G$5)*G64+P64*'Mean order price'!$H$5</f>
        <v>3.5972833333333334</v>
      </c>
      <c r="G64" s="53">
        <v>0.3</v>
      </c>
      <c r="H64" s="60">
        <v>0.3</v>
      </c>
      <c r="I64" s="60">
        <v>0</v>
      </c>
      <c r="J64" s="60">
        <v>0.55000000000000004</v>
      </c>
      <c r="K64" s="60">
        <v>0.05</v>
      </c>
      <c r="L64" s="60">
        <v>0.1</v>
      </c>
      <c r="M64" s="60">
        <f t="shared" si="10"/>
        <v>1.0000000000000002</v>
      </c>
      <c r="N64" s="61">
        <v>15</v>
      </c>
      <c r="O64" s="62">
        <f t="shared" si="11"/>
        <v>4</v>
      </c>
      <c r="P64" s="62">
        <f t="shared" si="12"/>
        <v>6.6666666666666666E-2</v>
      </c>
      <c r="Q64" s="65">
        <f t="shared" si="3"/>
        <v>0.80271666666666697</v>
      </c>
      <c r="R64" s="66">
        <f>Таблица1[[#This Row],[Profit]]/Таблица1[[#This Row],[Price]]</f>
        <v>0.1824356060606061</v>
      </c>
      <c r="S64" s="60">
        <f>VLOOKUP($A64,'Order Composition'!$B$2:$F$10,MATCH($C64,'Order Composition'!$B$2:$F$2,0),0)</f>
        <v>0.85</v>
      </c>
      <c r="T64" s="65">
        <f t="shared" si="4"/>
        <v>0.68230916666666686</v>
      </c>
      <c r="U64" s="65">
        <f>Таблица1[[#This Row],[Price]]*Таблица1[[#This Row],[Order]]</f>
        <v>3.74</v>
      </c>
      <c r="V64" s="65">
        <f>Таблица1[[#This Row],[Cost(with labour)]]*Таблица1[[#This Row],[Order]]</f>
        <v>3.0576908333333335</v>
      </c>
      <c r="W64" s="67">
        <f>VLOOKUP($A64,'Mean order price'!$B$2:$H$10,7,0)</f>
        <v>11</v>
      </c>
      <c r="X64" s="68">
        <f t="shared" si="5"/>
        <v>0.73333333333333328</v>
      </c>
    </row>
    <row r="65" spans="1:24">
      <c r="A65" s="53" t="s">
        <v>51</v>
      </c>
      <c r="B65" s="54">
        <f t="shared" si="6"/>
        <v>62</v>
      </c>
      <c r="C65" s="53" t="s">
        <v>27</v>
      </c>
      <c r="D65" s="53" t="s">
        <v>30</v>
      </c>
      <c r="E65" s="59">
        <f>VLOOKUP('Menu and cost - USA by city'!D65,'Menu and cost - Russia'!$D$4:$P$29,2,FALSE)*(VLOOKUP('Menu and cost - USA by city'!A65,COGS!$B$3:$I$10,8,FALSE)/3)*0.4</f>
        <v>4.4000000000000004</v>
      </c>
      <c r="F65" s="59">
        <f>SUMPRODUCT(H65:L65,'Mean order price'!$C$5:$G$5)*G65+P65*'Mean order price'!$H$5</f>
        <v>4.0717333333333334</v>
      </c>
      <c r="G65" s="53">
        <v>0.3</v>
      </c>
      <c r="H65" s="60">
        <v>0.1</v>
      </c>
      <c r="I65" s="60">
        <v>0.25</v>
      </c>
      <c r="J65" s="60">
        <v>0.5</v>
      </c>
      <c r="K65" s="60">
        <v>0.05</v>
      </c>
      <c r="L65" s="60">
        <v>0.1</v>
      </c>
      <c r="M65" s="60">
        <f t="shared" si="10"/>
        <v>1</v>
      </c>
      <c r="N65" s="61">
        <v>15</v>
      </c>
      <c r="O65" s="62">
        <f t="shared" si="11"/>
        <v>4</v>
      </c>
      <c r="P65" s="62">
        <f t="shared" si="12"/>
        <v>6.6666666666666666E-2</v>
      </c>
      <c r="Q65" s="65">
        <f t="shared" si="3"/>
        <v>0.32826666666666693</v>
      </c>
      <c r="R65" s="66">
        <f>Таблица1[[#This Row],[Profit]]/Таблица1[[#This Row],[Price]]</f>
        <v>7.4606060606060662E-2</v>
      </c>
      <c r="S65" s="60">
        <f>VLOOKUP($A65,'Order Composition'!$B$2:$F$10,MATCH($C65,'Order Composition'!$B$2:$F$2,0),0)</f>
        <v>0.85</v>
      </c>
      <c r="T65" s="65">
        <f t="shared" si="4"/>
        <v>0.27902666666666687</v>
      </c>
      <c r="U65" s="65">
        <f>Таблица1[[#This Row],[Price]]*Таблица1[[#This Row],[Order]]</f>
        <v>3.74</v>
      </c>
      <c r="V65" s="65">
        <f>Таблица1[[#This Row],[Cost(with labour)]]*Таблица1[[#This Row],[Order]]</f>
        <v>3.4609733333333335</v>
      </c>
      <c r="W65" s="67">
        <f>VLOOKUP($A65,'Mean order price'!$B$2:$H$10,7,0)</f>
        <v>11</v>
      </c>
      <c r="X65" s="68">
        <f t="shared" si="5"/>
        <v>0.73333333333333328</v>
      </c>
    </row>
    <row r="66" spans="1:24">
      <c r="A66" s="53" t="s">
        <v>51</v>
      </c>
      <c r="B66" s="54">
        <f t="shared" si="6"/>
        <v>63</v>
      </c>
      <c r="C66" s="53" t="s">
        <v>27</v>
      </c>
      <c r="D66" s="53" t="s">
        <v>31</v>
      </c>
      <c r="E66" s="59">
        <f>VLOOKUP('Menu and cost - USA by city'!D66,'Menu and cost - Russia'!$D$4:$P$29,2,FALSE)*(VLOOKUP('Menu and cost - USA by city'!A66,COGS!$B$3:$I$10,8,FALSE)/3)*0.4</f>
        <v>4.4000000000000004</v>
      </c>
      <c r="F66" s="59">
        <f>SUMPRODUCT(H66:L66,'Mean order price'!$C$5:$G$5)*G66+P66*'Mean order price'!$H$5</f>
        <v>3.2417000000000002</v>
      </c>
      <c r="G66" s="53">
        <v>0.2</v>
      </c>
      <c r="H66" s="60">
        <v>0.2</v>
      </c>
      <c r="I66" s="60">
        <v>0.4</v>
      </c>
      <c r="J66" s="60">
        <v>0.25</v>
      </c>
      <c r="K66" s="60">
        <v>0.05</v>
      </c>
      <c r="L66" s="60">
        <v>0.1</v>
      </c>
      <c r="M66" s="60">
        <f t="shared" si="10"/>
        <v>1.0000000000000002</v>
      </c>
      <c r="N66" s="61">
        <v>10</v>
      </c>
      <c r="O66" s="62">
        <f t="shared" si="11"/>
        <v>6</v>
      </c>
      <c r="P66" s="62">
        <f t="shared" si="12"/>
        <v>0.1</v>
      </c>
      <c r="Q66" s="65">
        <f t="shared" si="3"/>
        <v>1.1583000000000001</v>
      </c>
      <c r="R66" s="66">
        <f>Таблица1[[#This Row],[Profit]]/Таблица1[[#This Row],[Price]]</f>
        <v>0.26324999999999998</v>
      </c>
      <c r="S66" s="60">
        <f>VLOOKUP($A66,'Order Composition'!$B$2:$F$10,MATCH($C66,'Order Composition'!$B$2:$F$2,0),0)</f>
        <v>0.85</v>
      </c>
      <c r="T66" s="65">
        <f t="shared" si="4"/>
        <v>0.98455500000000007</v>
      </c>
      <c r="U66" s="65">
        <f>Таблица1[[#This Row],[Price]]*Таблица1[[#This Row],[Order]]</f>
        <v>3.74</v>
      </c>
      <c r="V66" s="65">
        <f>Таблица1[[#This Row],[Cost(with labour)]]*Таблица1[[#This Row],[Order]]</f>
        <v>2.7554449999999999</v>
      </c>
      <c r="W66" s="67">
        <f>VLOOKUP($A66,'Mean order price'!$B$2:$H$10,7,0)</f>
        <v>11</v>
      </c>
      <c r="X66" s="68">
        <f t="shared" si="5"/>
        <v>1.1000000000000001</v>
      </c>
    </row>
    <row r="67" spans="1:24">
      <c r="A67" s="53" t="s">
        <v>51</v>
      </c>
      <c r="B67" s="54">
        <f t="shared" si="6"/>
        <v>64</v>
      </c>
      <c r="C67" s="53" t="s">
        <v>27</v>
      </c>
      <c r="D67" s="53" t="s">
        <v>32</v>
      </c>
      <c r="E67" s="59">
        <f>VLOOKUP('Menu and cost - USA by city'!D67,'Menu and cost - Russia'!$D$4:$P$29,2,FALSE)*(VLOOKUP('Menu and cost - USA by city'!A67,COGS!$B$3:$I$10,8,FALSE)/3)*0.4</f>
        <v>5.8666666666666671</v>
      </c>
      <c r="F67" s="59">
        <f>SUMPRODUCT(H67:L67,'Mean order price'!$C$5:$G$5)*G67+P67*'Mean order price'!$H$5</f>
        <v>4.3935500000000003</v>
      </c>
      <c r="G67" s="53">
        <v>0.3</v>
      </c>
      <c r="H67" s="60">
        <v>0.2</v>
      </c>
      <c r="I67" s="60">
        <v>0.6</v>
      </c>
      <c r="J67" s="60">
        <v>0.05</v>
      </c>
      <c r="K67" s="60">
        <v>0.05</v>
      </c>
      <c r="L67" s="60">
        <v>0.1</v>
      </c>
      <c r="M67" s="60">
        <f t="shared" si="10"/>
        <v>1.0000000000000002</v>
      </c>
      <c r="N67" s="61">
        <v>10</v>
      </c>
      <c r="O67" s="62">
        <f t="shared" si="11"/>
        <v>6</v>
      </c>
      <c r="P67" s="62">
        <f t="shared" si="12"/>
        <v>0.1</v>
      </c>
      <c r="Q67" s="65">
        <f t="shared" si="3"/>
        <v>1.4731166666666669</v>
      </c>
      <c r="R67" s="66">
        <f>Таблица1[[#This Row],[Profit]]/Таблица1[[#This Row],[Price]]</f>
        <v>0.25109943181818184</v>
      </c>
      <c r="S67" s="60">
        <f>VLOOKUP($A67,'Order Composition'!$B$2:$F$10,MATCH($C67,'Order Composition'!$B$2:$F$2,0),0)</f>
        <v>0.85</v>
      </c>
      <c r="T67" s="65">
        <f t="shared" si="4"/>
        <v>1.2521491666666669</v>
      </c>
      <c r="U67" s="65">
        <f>Таблица1[[#This Row],[Price]]*Таблица1[[#This Row],[Order]]</f>
        <v>4.9866666666666672</v>
      </c>
      <c r="V67" s="65">
        <f>Таблица1[[#This Row],[Cost(with labour)]]*Таблица1[[#This Row],[Order]]</f>
        <v>3.7345174999999999</v>
      </c>
      <c r="W67" s="67">
        <f>VLOOKUP($A67,'Mean order price'!$B$2:$H$10,7,0)</f>
        <v>11</v>
      </c>
      <c r="X67" s="68">
        <f t="shared" si="5"/>
        <v>1.1000000000000001</v>
      </c>
    </row>
    <row r="68" spans="1:24">
      <c r="A68" s="53" t="s">
        <v>51</v>
      </c>
      <c r="B68" s="54">
        <f t="shared" si="6"/>
        <v>65</v>
      </c>
      <c r="C68" s="53" t="s">
        <v>27</v>
      </c>
      <c r="D68" s="53" t="s">
        <v>33</v>
      </c>
      <c r="E68" s="59">
        <f>VLOOKUP('Menu and cost - USA by city'!D68,'Menu and cost - Russia'!$D$4:$P$29,2,FALSE)*(VLOOKUP('Menu and cost - USA by city'!A68,COGS!$B$3:$I$10,8,FALSE)/3)*0.4</f>
        <v>5.8666666666666671</v>
      </c>
      <c r="F68" s="59">
        <f>SUMPRODUCT(H68:L68,'Mean order price'!$C$5:$G$5)*G68+P68*'Mean order price'!$H$5</f>
        <v>4.3530499999999996</v>
      </c>
      <c r="G68" s="53">
        <v>0.3</v>
      </c>
      <c r="H68" s="60">
        <v>0.2</v>
      </c>
      <c r="I68" s="60">
        <v>0.5</v>
      </c>
      <c r="J68" s="60">
        <v>0.15</v>
      </c>
      <c r="K68" s="60">
        <v>0.05</v>
      </c>
      <c r="L68" s="60">
        <v>0.1</v>
      </c>
      <c r="M68" s="60">
        <f t="shared" si="10"/>
        <v>1</v>
      </c>
      <c r="N68" s="61">
        <v>10</v>
      </c>
      <c r="O68" s="62">
        <f t="shared" si="11"/>
        <v>6</v>
      </c>
      <c r="P68" s="62">
        <f t="shared" si="12"/>
        <v>0.1</v>
      </c>
      <c r="Q68" s="65">
        <f t="shared" si="3"/>
        <v>1.5136166666666675</v>
      </c>
      <c r="R68" s="66">
        <f>Таблица1[[#This Row],[Profit]]/Таблица1[[#This Row],[Price]]</f>
        <v>0.25800284090909104</v>
      </c>
      <c r="S68" s="60">
        <f>VLOOKUP($A68,'Order Composition'!$B$2:$F$10,MATCH($C68,'Order Composition'!$B$2:$F$2,0),0)</f>
        <v>0.85</v>
      </c>
      <c r="T68" s="65">
        <f t="shared" si="4"/>
        <v>1.2865741666666672</v>
      </c>
      <c r="U68" s="65">
        <f>Таблица1[[#This Row],[Price]]*Таблица1[[#This Row],[Order]]</f>
        <v>4.9866666666666672</v>
      </c>
      <c r="V68" s="65">
        <f>Таблица1[[#This Row],[Cost(with labour)]]*Таблица1[[#This Row],[Order]]</f>
        <v>3.7000924999999998</v>
      </c>
      <c r="W68" s="67">
        <f>VLOOKUP($A68,'Mean order price'!$B$2:$H$10,7,0)</f>
        <v>11</v>
      </c>
      <c r="X68" s="68">
        <f t="shared" ref="X68:X131" si="13">W68*P68</f>
        <v>1.1000000000000001</v>
      </c>
    </row>
    <row r="69" spans="1:24">
      <c r="A69" s="53" t="s">
        <v>51</v>
      </c>
      <c r="B69" s="54">
        <f t="shared" si="6"/>
        <v>66</v>
      </c>
      <c r="C69" s="53" t="s">
        <v>27</v>
      </c>
      <c r="D69" s="53" t="s">
        <v>34</v>
      </c>
      <c r="E69" s="59">
        <f>VLOOKUP('Menu and cost - USA by city'!D69,'Menu and cost - Russia'!$D$4:$P$29,2,FALSE)*(VLOOKUP('Menu and cost - USA by city'!A69,COGS!$B$3:$I$10,8,FALSE)/3)*0.4</f>
        <v>4.4000000000000004</v>
      </c>
      <c r="F69" s="59">
        <f>SUMPRODUCT(H69:L69,'Mean order price'!$C$5:$G$5)*G69+P69*'Mean order price'!$H$5</f>
        <v>2.8914333333333331</v>
      </c>
      <c r="G69" s="53">
        <v>0.2</v>
      </c>
      <c r="H69" s="60">
        <v>0.1</v>
      </c>
      <c r="I69" s="60">
        <v>0</v>
      </c>
      <c r="J69" s="60">
        <v>0.75</v>
      </c>
      <c r="K69" s="60">
        <v>0.05</v>
      </c>
      <c r="L69" s="60">
        <v>0.1</v>
      </c>
      <c r="M69" s="60">
        <f t="shared" si="10"/>
        <v>1</v>
      </c>
      <c r="N69" s="61">
        <v>15</v>
      </c>
      <c r="O69" s="62">
        <f t="shared" si="11"/>
        <v>4</v>
      </c>
      <c r="P69" s="62">
        <f t="shared" si="12"/>
        <v>6.6666666666666666E-2</v>
      </c>
      <c r="Q69" s="65">
        <f t="shared" ref="Q69:Q132" si="14">E69-F69</f>
        <v>1.5085666666666673</v>
      </c>
      <c r="R69" s="66">
        <f>Таблица1[[#This Row],[Profit]]/Таблица1[[#This Row],[Price]]</f>
        <v>0.34285606060606072</v>
      </c>
      <c r="S69" s="60">
        <f>VLOOKUP($A69,'Order Composition'!$B$2:$F$10,MATCH($C69,'Order Composition'!$B$2:$F$2,0),0)</f>
        <v>0.85</v>
      </c>
      <c r="T69" s="65">
        <f t="shared" ref="T69:T132" si="15">S69*Q69</f>
        <v>1.2822816666666672</v>
      </c>
      <c r="U69" s="65">
        <f>Таблица1[[#This Row],[Price]]*Таблица1[[#This Row],[Order]]</f>
        <v>3.74</v>
      </c>
      <c r="V69" s="65">
        <f>Таблица1[[#This Row],[Cost(with labour)]]*Таблица1[[#This Row],[Order]]</f>
        <v>2.4577183333333332</v>
      </c>
      <c r="W69" s="67">
        <f>VLOOKUP($A69,'Mean order price'!$B$2:$H$10,7,0)</f>
        <v>11</v>
      </c>
      <c r="X69" s="68">
        <f t="shared" si="13"/>
        <v>0.73333333333333328</v>
      </c>
    </row>
    <row r="70" spans="1:24">
      <c r="A70" s="53" t="s">
        <v>51</v>
      </c>
      <c r="B70" s="54">
        <f t="shared" ref="B70:B133" si="16">B69+1</f>
        <v>67</v>
      </c>
      <c r="C70" s="53" t="s">
        <v>27</v>
      </c>
      <c r="D70" s="53" t="s">
        <v>35</v>
      </c>
      <c r="E70" s="59">
        <f>VLOOKUP('Menu and cost - USA by city'!D70,'Menu and cost - Russia'!$D$4:$P$29,2,FALSE)*(VLOOKUP('Menu and cost - USA by city'!A70,COGS!$B$3:$I$10,8,FALSE)/3)*0.4</f>
        <v>4.4000000000000004</v>
      </c>
      <c r="F70" s="59">
        <f>SUMPRODUCT(H70:L70,'Mean order price'!$C$5:$G$5)*G70+P70*'Mean order price'!$H$5</f>
        <v>2.7670333333333335</v>
      </c>
      <c r="G70" s="53">
        <v>0.2</v>
      </c>
      <c r="H70" s="60">
        <v>0.2</v>
      </c>
      <c r="I70" s="60">
        <v>0</v>
      </c>
      <c r="J70" s="60">
        <v>0.65</v>
      </c>
      <c r="K70" s="60">
        <v>0.05</v>
      </c>
      <c r="L70" s="60">
        <v>0.1</v>
      </c>
      <c r="M70" s="60">
        <f t="shared" si="10"/>
        <v>1.0000000000000002</v>
      </c>
      <c r="N70" s="61">
        <v>15</v>
      </c>
      <c r="O70" s="62">
        <f t="shared" si="11"/>
        <v>4</v>
      </c>
      <c r="P70" s="62">
        <f t="shared" si="12"/>
        <v>6.6666666666666666E-2</v>
      </c>
      <c r="Q70" s="65">
        <f t="shared" si="14"/>
        <v>1.6329666666666669</v>
      </c>
      <c r="R70" s="66">
        <f>Таблица1[[#This Row],[Profit]]/Таблица1[[#This Row],[Price]]</f>
        <v>0.37112878787878789</v>
      </c>
      <c r="S70" s="60">
        <f>VLOOKUP($A70,'Order Composition'!$B$2:$F$10,MATCH($C70,'Order Composition'!$B$2:$F$2,0),0)</f>
        <v>0.85</v>
      </c>
      <c r="T70" s="65">
        <f t="shared" si="15"/>
        <v>1.3880216666666669</v>
      </c>
      <c r="U70" s="65">
        <f>Таблица1[[#This Row],[Price]]*Таблица1[[#This Row],[Order]]</f>
        <v>3.74</v>
      </c>
      <c r="V70" s="65">
        <f>Таблица1[[#This Row],[Cost(with labour)]]*Таблица1[[#This Row],[Order]]</f>
        <v>2.3519783333333333</v>
      </c>
      <c r="W70" s="67">
        <f>VLOOKUP($A70,'Mean order price'!$B$2:$H$10,7,0)</f>
        <v>11</v>
      </c>
      <c r="X70" s="68">
        <f t="shared" si="13"/>
        <v>0.73333333333333328</v>
      </c>
    </row>
    <row r="71" spans="1:24">
      <c r="A71" s="53" t="s">
        <v>51</v>
      </c>
      <c r="B71" s="54">
        <f t="shared" si="16"/>
        <v>68</v>
      </c>
      <c r="C71" s="53" t="s">
        <v>27</v>
      </c>
      <c r="D71" s="53" t="s">
        <v>36</v>
      </c>
      <c r="E71" s="59">
        <f>VLOOKUP('Menu and cost - USA by city'!D71,'Menu and cost - Russia'!$D$4:$P$29,2,FALSE)*(VLOOKUP('Menu and cost - USA by city'!A71,COGS!$B$3:$I$10,8,FALSE)/3)*0.4</f>
        <v>7.333333333333333</v>
      </c>
      <c r="F71" s="59">
        <f>SUMPRODUCT(H71:L71,'Mean order price'!$C$5:$G$5)*G71+P71*'Mean order price'!$H$5</f>
        <v>4.4300000000000006</v>
      </c>
      <c r="G71" s="53">
        <v>0.3</v>
      </c>
      <c r="H71" s="60">
        <v>0</v>
      </c>
      <c r="I71" s="60">
        <v>0.5</v>
      </c>
      <c r="J71" s="60">
        <v>0.2</v>
      </c>
      <c r="K71" s="60">
        <v>0</v>
      </c>
      <c r="L71" s="60">
        <v>0.3</v>
      </c>
      <c r="M71" s="60">
        <f t="shared" si="10"/>
        <v>1</v>
      </c>
      <c r="N71" s="61">
        <v>10</v>
      </c>
      <c r="O71" s="62">
        <f t="shared" si="11"/>
        <v>6</v>
      </c>
      <c r="P71" s="62">
        <f t="shared" si="12"/>
        <v>0.1</v>
      </c>
      <c r="Q71" s="65">
        <f t="shared" si="14"/>
        <v>2.9033333333333324</v>
      </c>
      <c r="R71" s="66">
        <f>Таблица1[[#This Row],[Profit]]/Таблица1[[#This Row],[Price]]</f>
        <v>0.39590909090909082</v>
      </c>
      <c r="S71" s="60">
        <f>VLOOKUP($A71,'Order Composition'!$B$2:$F$10,MATCH($C71,'Order Composition'!$B$2:$F$2,0),0)</f>
        <v>0.85</v>
      </c>
      <c r="T71" s="65">
        <f t="shared" si="15"/>
        <v>2.4678333333333327</v>
      </c>
      <c r="U71" s="65">
        <f>Таблица1[[#This Row],[Price]]*Таблица1[[#This Row],[Order]]</f>
        <v>6.2333333333333325</v>
      </c>
      <c r="V71" s="65">
        <f>Таблица1[[#This Row],[Cost(with labour)]]*Таблица1[[#This Row],[Order]]</f>
        <v>3.7655000000000003</v>
      </c>
      <c r="W71" s="67">
        <f>VLOOKUP($A71,'Mean order price'!$B$2:$H$10,7,0)</f>
        <v>11</v>
      </c>
      <c r="X71" s="68">
        <f t="shared" si="13"/>
        <v>1.1000000000000001</v>
      </c>
    </row>
    <row r="72" spans="1:24">
      <c r="A72" s="53" t="s">
        <v>51</v>
      </c>
      <c r="B72" s="54">
        <f t="shared" si="16"/>
        <v>69</v>
      </c>
      <c r="C72" s="53" t="s">
        <v>27</v>
      </c>
      <c r="D72" s="53" t="s">
        <v>37</v>
      </c>
      <c r="E72" s="59">
        <f>VLOOKUP('Menu and cost - USA by city'!D72,'Menu and cost - Russia'!$D$4:$P$29,2,FALSE)*(VLOOKUP('Menu and cost - USA by city'!A72,COGS!$B$3:$I$10,8,FALSE)/3)*0.4</f>
        <v>7.333333333333333</v>
      </c>
      <c r="F72" s="59">
        <f>SUMPRODUCT(H72:L72,'Mean order price'!$C$5:$G$5)*G72+P72*'Mean order price'!$H$5</f>
        <v>4.4459000000000009</v>
      </c>
      <c r="G72" s="53">
        <v>0.3</v>
      </c>
      <c r="H72" s="60">
        <v>0.1</v>
      </c>
      <c r="I72" s="60">
        <v>0.5</v>
      </c>
      <c r="J72" s="60">
        <v>0.2</v>
      </c>
      <c r="K72" s="60">
        <v>0</v>
      </c>
      <c r="L72" s="60">
        <v>0.2</v>
      </c>
      <c r="M72" s="60">
        <f t="shared" si="10"/>
        <v>1</v>
      </c>
      <c r="N72" s="61">
        <v>10</v>
      </c>
      <c r="O72" s="62">
        <f t="shared" si="11"/>
        <v>6</v>
      </c>
      <c r="P72" s="62">
        <f t="shared" si="12"/>
        <v>0.1</v>
      </c>
      <c r="Q72" s="65">
        <f t="shared" si="14"/>
        <v>2.8874333333333322</v>
      </c>
      <c r="R72" s="66">
        <f>Таблица1[[#This Row],[Profit]]/Таблица1[[#This Row],[Price]]</f>
        <v>0.39374090909090897</v>
      </c>
      <c r="S72" s="60">
        <f>VLOOKUP($A72,'Order Composition'!$B$2:$F$10,MATCH($C72,'Order Composition'!$B$2:$F$2,0),0)</f>
        <v>0.85</v>
      </c>
      <c r="T72" s="65">
        <f t="shared" si="15"/>
        <v>2.4543183333333323</v>
      </c>
      <c r="U72" s="65">
        <f>Таблица1[[#This Row],[Price]]*Таблица1[[#This Row],[Order]]</f>
        <v>6.2333333333333325</v>
      </c>
      <c r="V72" s="65">
        <f>Таблица1[[#This Row],[Cost(with labour)]]*Таблица1[[#This Row],[Order]]</f>
        <v>3.7790150000000007</v>
      </c>
      <c r="W72" s="67">
        <f>VLOOKUP($A72,'Mean order price'!$B$2:$H$10,7,0)</f>
        <v>11</v>
      </c>
      <c r="X72" s="68">
        <f t="shared" si="13"/>
        <v>1.1000000000000001</v>
      </c>
    </row>
    <row r="73" spans="1:24">
      <c r="A73" s="53" t="s">
        <v>51</v>
      </c>
      <c r="B73" s="54">
        <f t="shared" si="16"/>
        <v>70</v>
      </c>
      <c r="C73" s="53" t="s">
        <v>38</v>
      </c>
      <c r="D73" s="53" t="s">
        <v>39</v>
      </c>
      <c r="E73" s="59">
        <f>VLOOKUP('Menu and cost - USA by city'!D73,'Menu and cost - Russia'!$D$4:$P$29,2,FALSE)*(VLOOKUP('Menu and cost - USA by city'!A73,COGS!$B$3:$I$10,8,FALSE)/3)*0.4</f>
        <v>4.4000000000000004</v>
      </c>
      <c r="F73" s="59">
        <f>SUMPRODUCT(H73:L73,'Mean order price'!$C$5:$G$5)*G73+P73*'Mean order price'!$H$5</f>
        <v>1.9271500000000001</v>
      </c>
      <c r="G73" s="53">
        <v>0.15</v>
      </c>
      <c r="H73" s="60">
        <v>0.2</v>
      </c>
      <c r="I73" s="60">
        <v>0</v>
      </c>
      <c r="J73" s="60">
        <v>0.5</v>
      </c>
      <c r="K73" s="60">
        <v>0</v>
      </c>
      <c r="L73" s="60">
        <v>0.3</v>
      </c>
      <c r="M73" s="60">
        <f t="shared" si="10"/>
        <v>1</v>
      </c>
      <c r="N73" s="61">
        <v>20</v>
      </c>
      <c r="O73" s="62">
        <f t="shared" si="11"/>
        <v>3</v>
      </c>
      <c r="P73" s="62">
        <f t="shared" si="12"/>
        <v>0.05</v>
      </c>
      <c r="Q73" s="65">
        <f t="shared" si="14"/>
        <v>2.4728500000000002</v>
      </c>
      <c r="R73" s="66">
        <f>Таблица1[[#This Row],[Profit]]/Таблица1[[#This Row],[Price]]</f>
        <v>0.56201136363636361</v>
      </c>
      <c r="S73" s="60">
        <f>VLOOKUP($A73,'Order Composition'!$B$2:$F$10,MATCH($C73,'Order Composition'!$B$2:$F$2,0),0)</f>
        <v>0.55000000000000004</v>
      </c>
      <c r="T73" s="65">
        <f t="shared" si="15"/>
        <v>1.3600675000000002</v>
      </c>
      <c r="U73" s="65">
        <f>Таблица1[[#This Row],[Price]]*Таблица1[[#This Row],[Order]]</f>
        <v>2.4200000000000004</v>
      </c>
      <c r="V73" s="65">
        <f>Таблица1[[#This Row],[Cost(with labour)]]*Таблица1[[#This Row],[Order]]</f>
        <v>1.0599325000000002</v>
      </c>
      <c r="W73" s="67">
        <f>VLOOKUP($A73,'Mean order price'!$B$2:$H$10,7,0)</f>
        <v>11</v>
      </c>
      <c r="X73" s="68">
        <f t="shared" si="13"/>
        <v>0.55000000000000004</v>
      </c>
    </row>
    <row r="74" spans="1:24">
      <c r="A74" s="53" t="s">
        <v>51</v>
      </c>
      <c r="B74" s="54">
        <f t="shared" si="16"/>
        <v>71</v>
      </c>
      <c r="C74" s="53" t="s">
        <v>38</v>
      </c>
      <c r="D74" s="53" t="s">
        <v>40</v>
      </c>
      <c r="E74" s="59">
        <f>VLOOKUP('Menu and cost - USA by city'!D74,'Menu and cost - Russia'!$D$4:$P$29,2,FALSE)*(VLOOKUP('Menu and cost - USA by city'!A74,COGS!$B$3:$I$10,8,FALSE)/3)*0.4</f>
        <v>4.4000000000000004</v>
      </c>
      <c r="F74" s="59">
        <f>SUMPRODUCT(H74:L74,'Mean order price'!$C$5:$G$5)*G74+P74*'Mean order price'!$H$5</f>
        <v>1.9271500000000001</v>
      </c>
      <c r="G74" s="53">
        <v>0.15</v>
      </c>
      <c r="H74" s="60">
        <v>0.2</v>
      </c>
      <c r="I74" s="60">
        <v>0</v>
      </c>
      <c r="J74" s="60">
        <v>0.5</v>
      </c>
      <c r="K74" s="60">
        <v>0</v>
      </c>
      <c r="L74" s="60">
        <v>0.3</v>
      </c>
      <c r="M74" s="60">
        <f t="shared" si="10"/>
        <v>1</v>
      </c>
      <c r="N74" s="61">
        <v>20</v>
      </c>
      <c r="O74" s="62">
        <f t="shared" si="11"/>
        <v>3</v>
      </c>
      <c r="P74" s="62">
        <f t="shared" si="12"/>
        <v>0.05</v>
      </c>
      <c r="Q74" s="65">
        <f t="shared" si="14"/>
        <v>2.4728500000000002</v>
      </c>
      <c r="R74" s="66">
        <f>Таблица1[[#This Row],[Profit]]/Таблица1[[#This Row],[Price]]</f>
        <v>0.56201136363636361</v>
      </c>
      <c r="S74" s="60">
        <f>VLOOKUP($A74,'Order Composition'!$B$2:$F$10,MATCH($C74,'Order Composition'!$B$2:$F$2,0),0)</f>
        <v>0.55000000000000004</v>
      </c>
      <c r="T74" s="65">
        <f t="shared" si="15"/>
        <v>1.3600675000000002</v>
      </c>
      <c r="U74" s="65">
        <f>Таблица1[[#This Row],[Price]]*Таблица1[[#This Row],[Order]]</f>
        <v>2.4200000000000004</v>
      </c>
      <c r="V74" s="65">
        <f>Таблица1[[#This Row],[Cost(with labour)]]*Таблица1[[#This Row],[Order]]</f>
        <v>1.0599325000000002</v>
      </c>
      <c r="W74" s="67">
        <f>VLOOKUP($A74,'Mean order price'!$B$2:$H$10,7,0)</f>
        <v>11</v>
      </c>
      <c r="X74" s="68">
        <f t="shared" si="13"/>
        <v>0.55000000000000004</v>
      </c>
    </row>
    <row r="75" spans="1:24">
      <c r="A75" s="53" t="s">
        <v>51</v>
      </c>
      <c r="B75" s="54">
        <f t="shared" si="16"/>
        <v>72</v>
      </c>
      <c r="C75" s="53" t="s">
        <v>38</v>
      </c>
      <c r="D75" s="53" t="s">
        <v>41</v>
      </c>
      <c r="E75" s="59">
        <f>VLOOKUP('Menu and cost - USA by city'!D75,'Menu and cost - Russia'!$D$4:$P$29,2,FALSE)*(VLOOKUP('Menu and cost - USA by city'!A75,COGS!$B$3:$I$10,8,FALSE)/3)*0.4</f>
        <v>2.2000000000000002</v>
      </c>
      <c r="F75" s="59">
        <f>SUMPRODUCT(H75:L75,'Mean order price'!$C$5:$G$5)*G75+P75*'Mean order price'!$H$5</f>
        <v>1.1014333333333335</v>
      </c>
      <c r="G75" s="53">
        <v>0.1</v>
      </c>
      <c r="H75" s="60">
        <v>0.2</v>
      </c>
      <c r="I75" s="60">
        <v>0</v>
      </c>
      <c r="J75" s="60">
        <v>0.5</v>
      </c>
      <c r="K75" s="60">
        <v>0</v>
      </c>
      <c r="L75" s="60">
        <v>0.3</v>
      </c>
      <c r="M75" s="60">
        <f t="shared" si="10"/>
        <v>1</v>
      </c>
      <c r="N75" s="61">
        <v>60</v>
      </c>
      <c r="O75" s="62">
        <f t="shared" si="11"/>
        <v>1</v>
      </c>
      <c r="P75" s="62">
        <f t="shared" si="12"/>
        <v>1.6666666666666666E-2</v>
      </c>
      <c r="Q75" s="65">
        <f t="shared" si="14"/>
        <v>1.0985666666666667</v>
      </c>
      <c r="R75" s="66">
        <f>Таблица1[[#This Row],[Profit]]/Таблица1[[#This Row],[Price]]</f>
        <v>0.49934848484848482</v>
      </c>
      <c r="S75" s="60">
        <f>VLOOKUP($A75,'Order Composition'!$B$2:$F$10,MATCH($C75,'Order Composition'!$B$2:$F$2,0),0)</f>
        <v>0.55000000000000004</v>
      </c>
      <c r="T75" s="65">
        <f t="shared" si="15"/>
        <v>0.6042116666666667</v>
      </c>
      <c r="U75" s="65">
        <f>Таблица1[[#This Row],[Price]]*Таблица1[[#This Row],[Order]]</f>
        <v>1.2100000000000002</v>
      </c>
      <c r="V75" s="65">
        <f>Таблица1[[#This Row],[Cost(with labour)]]*Таблица1[[#This Row],[Order]]</f>
        <v>0.60578833333333348</v>
      </c>
      <c r="W75" s="67">
        <f>VLOOKUP($A75,'Mean order price'!$B$2:$H$10,7,0)</f>
        <v>11</v>
      </c>
      <c r="X75" s="68">
        <f t="shared" si="13"/>
        <v>0.18333333333333332</v>
      </c>
    </row>
    <row r="76" spans="1:24">
      <c r="A76" s="53" t="s">
        <v>51</v>
      </c>
      <c r="B76" s="54">
        <f t="shared" si="16"/>
        <v>73</v>
      </c>
      <c r="C76" s="53" t="s">
        <v>11</v>
      </c>
      <c r="D76" s="53" t="s">
        <v>42</v>
      </c>
      <c r="E76" s="59">
        <f>VLOOKUP('Menu and cost - USA by city'!D76,'Menu and cost - Russia'!$D$4:$P$29,2,FALSE)*(VLOOKUP('Menu and cost - USA by city'!A76,COGS!$B$3:$I$10,8,FALSE)/3)*0.4</f>
        <v>2.2000000000000002</v>
      </c>
      <c r="F76" s="59">
        <f>SUMPRODUCT(H76:L76,'Mean order price'!$C$5:$G$5)*G76+P76*'Mean order price'!$H$5</f>
        <v>1.1316666666666666</v>
      </c>
      <c r="G76" s="53">
        <v>0.2</v>
      </c>
      <c r="H76" s="60">
        <v>0</v>
      </c>
      <c r="I76" s="60">
        <v>0</v>
      </c>
      <c r="J76" s="60">
        <v>0</v>
      </c>
      <c r="K76" s="60">
        <v>1</v>
      </c>
      <c r="L76" s="60">
        <v>0</v>
      </c>
      <c r="M76" s="60">
        <f t="shared" si="10"/>
        <v>1</v>
      </c>
      <c r="N76" s="61">
        <v>120</v>
      </c>
      <c r="O76" s="62">
        <f t="shared" si="11"/>
        <v>0.5</v>
      </c>
      <c r="P76" s="62">
        <f t="shared" si="12"/>
        <v>8.3333333333333332E-3</v>
      </c>
      <c r="Q76" s="65">
        <f t="shared" si="14"/>
        <v>1.0683333333333336</v>
      </c>
      <c r="R76" s="66">
        <f>Таблица1[[#This Row],[Profit]]/Таблица1[[#This Row],[Price]]</f>
        <v>0.48560606060606065</v>
      </c>
      <c r="S76" s="60">
        <f>VLOOKUP($A76,'Order Composition'!$B$2:$F$10,MATCH($C76,'Order Composition'!$B$2:$F$2,0),0)</f>
        <v>0.75</v>
      </c>
      <c r="T76" s="65">
        <f t="shared" si="15"/>
        <v>0.80125000000000024</v>
      </c>
      <c r="U76" s="65">
        <f>Таблица1[[#This Row],[Price]]*Таблица1[[#This Row],[Order]]</f>
        <v>1.6500000000000001</v>
      </c>
      <c r="V76" s="65">
        <f>Таблица1[[#This Row],[Cost(with labour)]]*Таблица1[[#This Row],[Order]]</f>
        <v>0.84874999999999989</v>
      </c>
      <c r="W76" s="67">
        <f>VLOOKUP($A76,'Mean order price'!$B$2:$H$10,7,0)</f>
        <v>11</v>
      </c>
      <c r="X76" s="68">
        <f t="shared" si="13"/>
        <v>9.166666666666666E-2</v>
      </c>
    </row>
    <row r="77" spans="1:24">
      <c r="A77" s="53" t="s">
        <v>51</v>
      </c>
      <c r="B77" s="54">
        <f t="shared" si="16"/>
        <v>74</v>
      </c>
      <c r="C77" s="53" t="s">
        <v>11</v>
      </c>
      <c r="D77" s="53" t="s">
        <v>43</v>
      </c>
      <c r="E77" s="59">
        <f>VLOOKUP('Menu and cost - USA by city'!D77,'Menu and cost - Russia'!$D$4:$P$29,2,FALSE)*(VLOOKUP('Menu and cost - USA by city'!A77,COGS!$B$3:$I$10,8,FALSE)/3)*0.4</f>
        <v>2.2000000000000002</v>
      </c>
      <c r="F77" s="59">
        <f>SUMPRODUCT(H77:L77,'Mean order price'!$C$5:$G$5)*G77+P77*'Mean order price'!$H$5</f>
        <v>1.1316666666666666</v>
      </c>
      <c r="G77" s="53">
        <v>0.2</v>
      </c>
      <c r="H77" s="60">
        <v>0</v>
      </c>
      <c r="I77" s="60">
        <v>0</v>
      </c>
      <c r="J77" s="60">
        <v>0</v>
      </c>
      <c r="K77" s="60">
        <v>1</v>
      </c>
      <c r="L77" s="60">
        <v>0</v>
      </c>
      <c r="M77" s="60">
        <f t="shared" si="10"/>
        <v>1</v>
      </c>
      <c r="N77" s="61">
        <v>120</v>
      </c>
      <c r="O77" s="62">
        <f t="shared" si="11"/>
        <v>0.5</v>
      </c>
      <c r="P77" s="62">
        <f t="shared" si="12"/>
        <v>8.3333333333333332E-3</v>
      </c>
      <c r="Q77" s="65">
        <f t="shared" si="14"/>
        <v>1.0683333333333336</v>
      </c>
      <c r="R77" s="66">
        <f>Таблица1[[#This Row],[Profit]]/Таблица1[[#This Row],[Price]]</f>
        <v>0.48560606060606065</v>
      </c>
      <c r="S77" s="60">
        <f>VLOOKUP($A77,'Order Composition'!$B$2:$F$10,MATCH($C77,'Order Composition'!$B$2:$F$2,0),0)</f>
        <v>0.75</v>
      </c>
      <c r="T77" s="65">
        <f t="shared" si="15"/>
        <v>0.80125000000000024</v>
      </c>
      <c r="U77" s="65">
        <f>Таблица1[[#This Row],[Price]]*Таблица1[[#This Row],[Order]]</f>
        <v>1.6500000000000001</v>
      </c>
      <c r="V77" s="65">
        <f>Таблица1[[#This Row],[Cost(with labour)]]*Таблица1[[#This Row],[Order]]</f>
        <v>0.84874999999999989</v>
      </c>
      <c r="W77" s="67">
        <f>VLOOKUP($A77,'Mean order price'!$B$2:$H$10,7,0)</f>
        <v>11</v>
      </c>
      <c r="X77" s="68">
        <f t="shared" si="13"/>
        <v>9.166666666666666E-2</v>
      </c>
    </row>
    <row r="78" spans="1:24">
      <c r="A78" s="53" t="s">
        <v>51</v>
      </c>
      <c r="B78" s="54">
        <f t="shared" si="16"/>
        <v>75</v>
      </c>
      <c r="C78" s="53" t="s">
        <v>11</v>
      </c>
      <c r="D78" s="53" t="s">
        <v>44</v>
      </c>
      <c r="E78" s="59">
        <f>VLOOKUP('Menu and cost - USA by city'!D78,'Menu and cost - Russia'!$D$4:$P$29,2,FALSE)*(VLOOKUP('Menu and cost - USA by city'!A78,COGS!$B$3:$I$10,8,FALSE)/3)*0.4</f>
        <v>2.9333333333333336</v>
      </c>
      <c r="F78" s="59">
        <f>SUMPRODUCT(H78:L78,'Mean order price'!$C$5:$G$5)*G78+P78*'Mean order price'!$H$5</f>
        <v>1.5133333333333334</v>
      </c>
      <c r="G78" s="53">
        <v>0.2</v>
      </c>
      <c r="H78" s="60">
        <v>0</v>
      </c>
      <c r="I78" s="60">
        <v>0</v>
      </c>
      <c r="J78" s="60">
        <v>0.2</v>
      </c>
      <c r="K78" s="60">
        <v>0.8</v>
      </c>
      <c r="L78" s="60">
        <v>0</v>
      </c>
      <c r="M78" s="60">
        <f t="shared" si="10"/>
        <v>1</v>
      </c>
      <c r="N78" s="61">
        <v>60</v>
      </c>
      <c r="O78" s="62">
        <f t="shared" si="11"/>
        <v>1</v>
      </c>
      <c r="P78" s="62">
        <f t="shared" si="12"/>
        <v>1.6666666666666666E-2</v>
      </c>
      <c r="Q78" s="65">
        <f t="shared" si="14"/>
        <v>1.4200000000000002</v>
      </c>
      <c r="R78" s="66">
        <f>Таблица1[[#This Row],[Profit]]/Таблица1[[#This Row],[Price]]</f>
        <v>0.48409090909090913</v>
      </c>
      <c r="S78" s="60">
        <f>VLOOKUP($A78,'Order Composition'!$B$2:$F$10,MATCH($C78,'Order Composition'!$B$2:$F$2,0),0)</f>
        <v>0.75</v>
      </c>
      <c r="T78" s="65">
        <f t="shared" si="15"/>
        <v>1.0650000000000002</v>
      </c>
      <c r="U78" s="65">
        <f>Таблица1[[#This Row],[Price]]*Таблица1[[#This Row],[Order]]</f>
        <v>2.2000000000000002</v>
      </c>
      <c r="V78" s="65">
        <f>Таблица1[[#This Row],[Cost(with labour)]]*Таблица1[[#This Row],[Order]]</f>
        <v>1.135</v>
      </c>
      <c r="W78" s="67">
        <f>VLOOKUP($A78,'Mean order price'!$B$2:$H$10,7,0)</f>
        <v>11</v>
      </c>
      <c r="X78" s="68">
        <f t="shared" si="13"/>
        <v>0.18333333333333332</v>
      </c>
    </row>
    <row r="79" spans="1:24">
      <c r="A79" s="53" t="s">
        <v>51</v>
      </c>
      <c r="B79" s="54">
        <f t="shared" si="16"/>
        <v>76</v>
      </c>
      <c r="C79" s="53" t="s">
        <v>11</v>
      </c>
      <c r="D79" s="53" t="s">
        <v>45</v>
      </c>
      <c r="E79" s="59">
        <f>VLOOKUP('Menu and cost - USA by city'!D79,'Menu and cost - Russia'!$D$4:$P$29,2,FALSE)*(VLOOKUP('Menu and cost - USA by city'!A79,COGS!$B$3:$I$10,8,FALSE)/3)*0.4</f>
        <v>2.9333333333333336</v>
      </c>
      <c r="F79" s="59">
        <f>SUMPRODUCT(H79:L79,'Mean order price'!$C$5:$G$5)*G79+P79*'Mean order price'!$H$5</f>
        <v>1.5133333333333334</v>
      </c>
      <c r="G79" s="53">
        <v>0.2</v>
      </c>
      <c r="H79" s="60">
        <v>0</v>
      </c>
      <c r="I79" s="60">
        <v>0</v>
      </c>
      <c r="J79" s="60">
        <v>0.2</v>
      </c>
      <c r="K79" s="60">
        <v>0.8</v>
      </c>
      <c r="L79" s="60">
        <v>0</v>
      </c>
      <c r="M79" s="60">
        <f t="shared" si="10"/>
        <v>1</v>
      </c>
      <c r="N79" s="61">
        <v>60</v>
      </c>
      <c r="O79" s="62">
        <f t="shared" si="11"/>
        <v>1</v>
      </c>
      <c r="P79" s="62">
        <f t="shared" si="12"/>
        <v>1.6666666666666666E-2</v>
      </c>
      <c r="Q79" s="65">
        <f t="shared" si="14"/>
        <v>1.4200000000000002</v>
      </c>
      <c r="R79" s="66">
        <f>Таблица1[[#This Row],[Profit]]/Таблица1[[#This Row],[Price]]</f>
        <v>0.48409090909090913</v>
      </c>
      <c r="S79" s="60">
        <f>VLOOKUP($A79,'Order Composition'!$B$2:$F$10,MATCH($C79,'Order Composition'!$B$2:$F$2,0),0)</f>
        <v>0.75</v>
      </c>
      <c r="T79" s="65">
        <f t="shared" si="15"/>
        <v>1.0650000000000002</v>
      </c>
      <c r="U79" s="65">
        <f>Таблица1[[#This Row],[Price]]*Таблица1[[#This Row],[Order]]</f>
        <v>2.2000000000000002</v>
      </c>
      <c r="V79" s="65">
        <f>Таблица1[[#This Row],[Cost(with labour)]]*Таблица1[[#This Row],[Order]]</f>
        <v>1.135</v>
      </c>
      <c r="W79" s="67">
        <f>VLOOKUP($A79,'Mean order price'!$B$2:$H$10,7,0)</f>
        <v>11</v>
      </c>
      <c r="X79" s="68">
        <f t="shared" si="13"/>
        <v>0.18333333333333332</v>
      </c>
    </row>
    <row r="80" spans="1:24">
      <c r="A80" s="53" t="s">
        <v>51</v>
      </c>
      <c r="B80" s="54">
        <f t="shared" si="16"/>
        <v>77</v>
      </c>
      <c r="C80" s="53" t="s">
        <v>11</v>
      </c>
      <c r="D80" s="53" t="s">
        <v>46</v>
      </c>
      <c r="E80" s="59">
        <f>VLOOKUP('Menu and cost - USA by city'!D80,'Menu and cost - Russia'!$D$4:$P$29,2,FALSE)*(VLOOKUP('Menu and cost - USA by city'!A80,COGS!$B$3:$I$10,8,FALSE)/3)*0.4</f>
        <v>2.2000000000000002</v>
      </c>
      <c r="F80" s="59">
        <f>SUMPRODUCT(H80:L80,'Mean order price'!$C$5:$G$5)*G80+P80*'Mean order price'!$H$5</f>
        <v>1.3149999999999999</v>
      </c>
      <c r="G80" s="53">
        <v>0.2</v>
      </c>
      <c r="H80" s="60">
        <v>0</v>
      </c>
      <c r="I80" s="60">
        <v>0</v>
      </c>
      <c r="J80" s="60">
        <v>0</v>
      </c>
      <c r="K80" s="60">
        <v>1</v>
      </c>
      <c r="L80" s="60">
        <v>0</v>
      </c>
      <c r="M80" s="60">
        <f t="shared" si="10"/>
        <v>1</v>
      </c>
      <c r="N80" s="61">
        <v>40</v>
      </c>
      <c r="O80" s="62">
        <f t="shared" si="11"/>
        <v>1.5</v>
      </c>
      <c r="P80" s="62">
        <f t="shared" si="12"/>
        <v>2.5000000000000001E-2</v>
      </c>
      <c r="Q80" s="65">
        <f t="shared" si="14"/>
        <v>0.88500000000000023</v>
      </c>
      <c r="R80" s="66">
        <f>Таблица1[[#This Row],[Profit]]/Таблица1[[#This Row],[Price]]</f>
        <v>0.40227272727272734</v>
      </c>
      <c r="S80" s="60">
        <f>VLOOKUP($A80,'Order Composition'!$B$2:$F$10,MATCH($C80,'Order Composition'!$B$2:$F$2,0),0)</f>
        <v>0.75</v>
      </c>
      <c r="T80" s="65">
        <f t="shared" si="15"/>
        <v>0.66375000000000017</v>
      </c>
      <c r="U80" s="65">
        <f>Таблица1[[#This Row],[Price]]*Таблица1[[#This Row],[Order]]</f>
        <v>1.6500000000000001</v>
      </c>
      <c r="V80" s="65">
        <f>Таблица1[[#This Row],[Cost(with labour)]]*Таблица1[[#This Row],[Order]]</f>
        <v>0.98624999999999996</v>
      </c>
      <c r="W80" s="67">
        <f>VLOOKUP($A80,'Mean order price'!$B$2:$H$10,7,0)</f>
        <v>11</v>
      </c>
      <c r="X80" s="68">
        <f t="shared" si="13"/>
        <v>0.27500000000000002</v>
      </c>
    </row>
    <row r="81" spans="1:24">
      <c r="A81" s="53" t="s">
        <v>51</v>
      </c>
      <c r="B81" s="54">
        <f t="shared" si="16"/>
        <v>78</v>
      </c>
      <c r="C81" s="53" t="s">
        <v>11</v>
      </c>
      <c r="D81" s="53" t="s">
        <v>47</v>
      </c>
      <c r="E81" s="59">
        <f>VLOOKUP('Menu and cost - USA by city'!D81,'Menu and cost - Russia'!$D$4:$P$29,2,FALSE)*(VLOOKUP('Menu and cost - USA by city'!A81,COGS!$B$3:$I$10,8,FALSE)/3)*0.4</f>
        <v>2.2000000000000002</v>
      </c>
      <c r="F81" s="59">
        <f>SUMPRODUCT(H81:L81,'Mean order price'!$C$5:$G$5)*G81+P81*'Mean order price'!$H$5</f>
        <v>1.4600000000000004</v>
      </c>
      <c r="G81" s="53">
        <v>0.2</v>
      </c>
      <c r="H81" s="60">
        <v>0</v>
      </c>
      <c r="I81" s="60">
        <v>0</v>
      </c>
      <c r="J81" s="60">
        <v>0.1</v>
      </c>
      <c r="K81" s="60">
        <v>0.9</v>
      </c>
      <c r="L81" s="60">
        <v>0</v>
      </c>
      <c r="M81" s="60">
        <f t="shared" si="10"/>
        <v>1</v>
      </c>
      <c r="N81" s="61">
        <v>40</v>
      </c>
      <c r="O81" s="62">
        <f t="shared" si="11"/>
        <v>1.5</v>
      </c>
      <c r="P81" s="62">
        <f t="shared" si="12"/>
        <v>2.5000000000000001E-2</v>
      </c>
      <c r="Q81" s="65">
        <f t="shared" si="14"/>
        <v>0.73999999999999977</v>
      </c>
      <c r="R81" s="66">
        <f>Таблица1[[#This Row],[Profit]]/Таблица1[[#This Row],[Price]]</f>
        <v>0.33636363636363625</v>
      </c>
      <c r="S81" s="60">
        <f>VLOOKUP($A81,'Order Composition'!$B$2:$F$10,MATCH($C81,'Order Composition'!$B$2:$F$2,0),0)</f>
        <v>0.75</v>
      </c>
      <c r="T81" s="65">
        <f t="shared" si="15"/>
        <v>0.55499999999999983</v>
      </c>
      <c r="U81" s="65">
        <f>Таблица1[[#This Row],[Price]]*Таблица1[[#This Row],[Order]]</f>
        <v>1.6500000000000001</v>
      </c>
      <c r="V81" s="65">
        <f>Таблица1[[#This Row],[Cost(with labour)]]*Таблица1[[#This Row],[Order]]</f>
        <v>1.0950000000000002</v>
      </c>
      <c r="W81" s="67">
        <f>VLOOKUP($A81,'Mean order price'!$B$2:$H$10,7,0)</f>
        <v>11</v>
      </c>
      <c r="X81" s="68">
        <f t="shared" si="13"/>
        <v>0.27500000000000002</v>
      </c>
    </row>
    <row r="82" spans="1:24">
      <c r="A82" s="53" t="s">
        <v>52</v>
      </c>
      <c r="B82" s="54">
        <f t="shared" si="16"/>
        <v>79</v>
      </c>
      <c r="C82" s="53" t="s">
        <v>19</v>
      </c>
      <c r="D82" s="53" t="s">
        <v>20</v>
      </c>
      <c r="E82" s="59">
        <f>VLOOKUP('Menu and cost - USA by city'!D82,'Menu and cost - Russia'!$D$4:$P$29,2,FALSE)*(VLOOKUP('Menu and cost - USA by city'!A82,COGS!$B$3:$I$10,8,FALSE)/3)*0.4</f>
        <v>3.6</v>
      </c>
      <c r="F82" s="59">
        <f>SUMPRODUCT(H82:L82,'Mean order price'!$C$6:$G$6)*G82+P82*'Mean order price'!$H$6</f>
        <v>3.4628000000000001</v>
      </c>
      <c r="G82" s="53">
        <v>0.2</v>
      </c>
      <c r="H82" s="60">
        <v>0</v>
      </c>
      <c r="I82" s="60">
        <v>0</v>
      </c>
      <c r="J82" s="60">
        <v>0.9</v>
      </c>
      <c r="K82" s="60">
        <v>0</v>
      </c>
      <c r="L82" s="60">
        <v>0.1</v>
      </c>
      <c r="M82" s="60">
        <f t="shared" si="10"/>
        <v>1</v>
      </c>
      <c r="N82" s="61">
        <v>20</v>
      </c>
      <c r="O82" s="62">
        <f t="shared" si="11"/>
        <v>3</v>
      </c>
      <c r="P82" s="62">
        <f t="shared" si="12"/>
        <v>0.05</v>
      </c>
      <c r="Q82" s="65">
        <f t="shared" si="14"/>
        <v>0.13719999999999999</v>
      </c>
      <c r="R82" s="66">
        <f>Таблица1[[#This Row],[Profit]]/Таблица1[[#This Row],[Price]]</f>
        <v>3.8111111111111109E-2</v>
      </c>
      <c r="S82" s="60">
        <f>VLOOKUP($A82,'Order Composition'!$B$2:$F$10,MATCH($C82,'Order Composition'!$B$2:$F$2,0),0)</f>
        <v>0.55000000000000004</v>
      </c>
      <c r="T82" s="65">
        <f t="shared" si="15"/>
        <v>7.5459999999999999E-2</v>
      </c>
      <c r="U82" s="65">
        <f>Таблица1[[#This Row],[Price]]*Таблица1[[#This Row],[Order]]</f>
        <v>1.9800000000000002</v>
      </c>
      <c r="V82" s="65">
        <f>Таблица1[[#This Row],[Cost(with labour)]]*Таблица1[[#This Row],[Order]]</f>
        <v>1.9045400000000001</v>
      </c>
      <c r="W82" s="67">
        <f>VLOOKUP($A82,'Mean order price'!$B$2:$H$10,7,0)</f>
        <v>9</v>
      </c>
      <c r="X82" s="68">
        <f t="shared" si="13"/>
        <v>0.45</v>
      </c>
    </row>
    <row r="83" spans="1:24">
      <c r="A83" s="53" t="s">
        <v>52</v>
      </c>
      <c r="B83" s="54">
        <f t="shared" si="16"/>
        <v>80</v>
      </c>
      <c r="C83" s="53" t="s">
        <v>19</v>
      </c>
      <c r="D83" s="53" t="s">
        <v>21</v>
      </c>
      <c r="E83" s="59">
        <f>VLOOKUP('Menu and cost - USA by city'!D83,'Menu and cost - Russia'!$D$4:$P$29,2,FALSE)*(VLOOKUP('Menu and cost - USA by city'!A83,COGS!$B$3:$I$10,8,FALSE)/3)*0.4</f>
        <v>3.6</v>
      </c>
      <c r="F83" s="59">
        <f>SUMPRODUCT(H83:L83,'Mean order price'!$C$6:$G$6)*G83+P83*'Mean order price'!$H$6</f>
        <v>3.7163999999999997</v>
      </c>
      <c r="G83" s="53">
        <v>0.2</v>
      </c>
      <c r="H83" s="60">
        <v>0</v>
      </c>
      <c r="I83" s="60">
        <v>0.2</v>
      </c>
      <c r="J83" s="60">
        <v>0.7</v>
      </c>
      <c r="K83" s="60">
        <v>0</v>
      </c>
      <c r="L83" s="60">
        <v>0.1</v>
      </c>
      <c r="M83" s="60">
        <f t="shared" ref="M83:M108" si="17">SUM(H83:L83)</f>
        <v>0.99999999999999989</v>
      </c>
      <c r="N83" s="61">
        <v>20</v>
      </c>
      <c r="O83" s="62">
        <f t="shared" ref="O83:O108" si="18">60/N83</f>
        <v>3</v>
      </c>
      <c r="P83" s="62">
        <f t="shared" ref="P83:P108" si="19">O83/60</f>
        <v>0.05</v>
      </c>
      <c r="Q83" s="65">
        <f t="shared" si="14"/>
        <v>-0.11639999999999961</v>
      </c>
      <c r="R83" s="66">
        <f>Таблица1[[#This Row],[Profit]]/Таблица1[[#This Row],[Price]]</f>
        <v>-3.2333333333333228E-2</v>
      </c>
      <c r="S83" s="60">
        <f>VLOOKUP($A83,'Order Composition'!$B$2:$F$10,MATCH($C83,'Order Composition'!$B$2:$F$2,0),0)</f>
        <v>0.55000000000000004</v>
      </c>
      <c r="T83" s="65">
        <f t="shared" si="15"/>
        <v>-6.4019999999999799E-2</v>
      </c>
      <c r="U83" s="65">
        <f>Таблица1[[#This Row],[Price]]*Таблица1[[#This Row],[Order]]</f>
        <v>1.9800000000000002</v>
      </c>
      <c r="V83" s="65">
        <f>Таблица1[[#This Row],[Cost(with labour)]]*Таблица1[[#This Row],[Order]]</f>
        <v>2.0440200000000002</v>
      </c>
      <c r="W83" s="67">
        <f>VLOOKUP($A83,'Mean order price'!$B$2:$H$10,7,0)</f>
        <v>9</v>
      </c>
      <c r="X83" s="68">
        <f t="shared" si="13"/>
        <v>0.45</v>
      </c>
    </row>
    <row r="84" spans="1:24">
      <c r="A84" s="53" t="s">
        <v>52</v>
      </c>
      <c r="B84" s="54">
        <f t="shared" si="16"/>
        <v>81</v>
      </c>
      <c r="C84" s="53" t="s">
        <v>19</v>
      </c>
      <c r="D84" s="53" t="s">
        <v>22</v>
      </c>
      <c r="E84" s="59">
        <f>VLOOKUP('Menu and cost - USA by city'!D84,'Menu and cost - Russia'!$D$4:$P$29,2,FALSE)*(VLOOKUP('Menu and cost - USA by city'!A84,COGS!$B$3:$I$10,8,FALSE)/3)*0.4</f>
        <v>3.6</v>
      </c>
      <c r="F84" s="59">
        <f>SUMPRODUCT(H84:L84,'Mean order price'!$C$6:$G$6)*G84+P84*'Mean order price'!$H$6</f>
        <v>4.0968</v>
      </c>
      <c r="G84" s="53">
        <v>0.2</v>
      </c>
      <c r="H84" s="60">
        <v>0</v>
      </c>
      <c r="I84" s="60">
        <v>0.5</v>
      </c>
      <c r="J84" s="60">
        <v>0.4</v>
      </c>
      <c r="K84" s="60">
        <v>0</v>
      </c>
      <c r="L84" s="60">
        <v>0.1</v>
      </c>
      <c r="M84" s="60">
        <f t="shared" si="17"/>
        <v>1</v>
      </c>
      <c r="N84" s="61">
        <v>20</v>
      </c>
      <c r="O84" s="62">
        <f t="shared" si="18"/>
        <v>3</v>
      </c>
      <c r="P84" s="62">
        <f t="shared" si="19"/>
        <v>0.05</v>
      </c>
      <c r="Q84" s="65">
        <f t="shared" si="14"/>
        <v>-0.49679999999999991</v>
      </c>
      <c r="R84" s="66">
        <f>Таблица1[[#This Row],[Profit]]/Таблица1[[#This Row],[Price]]</f>
        <v>-0.13799999999999998</v>
      </c>
      <c r="S84" s="60">
        <f>VLOOKUP($A84,'Order Composition'!$B$2:$F$10,MATCH($C84,'Order Composition'!$B$2:$F$2,0),0)</f>
        <v>0.55000000000000004</v>
      </c>
      <c r="T84" s="65">
        <f t="shared" si="15"/>
        <v>-0.27323999999999998</v>
      </c>
      <c r="U84" s="65">
        <f>Таблица1[[#This Row],[Price]]*Таблица1[[#This Row],[Order]]</f>
        <v>1.9800000000000002</v>
      </c>
      <c r="V84" s="65">
        <f>Таблица1[[#This Row],[Cost(with labour)]]*Таблица1[[#This Row],[Order]]</f>
        <v>2.2532400000000004</v>
      </c>
      <c r="W84" s="67">
        <f>VLOOKUP($A84,'Mean order price'!$B$2:$H$10,7,0)</f>
        <v>9</v>
      </c>
      <c r="X84" s="68">
        <f t="shared" si="13"/>
        <v>0.45</v>
      </c>
    </row>
    <row r="85" spans="1:24">
      <c r="A85" s="53" t="s">
        <v>52</v>
      </c>
      <c r="B85" s="54">
        <f t="shared" si="16"/>
        <v>82</v>
      </c>
      <c r="C85" s="53" t="s">
        <v>19</v>
      </c>
      <c r="D85" s="53" t="s">
        <v>23</v>
      </c>
      <c r="E85" s="59">
        <f>VLOOKUP('Menu and cost - USA by city'!D85,'Menu and cost - Russia'!$D$4:$P$29,2,FALSE)*(VLOOKUP('Menu and cost - USA by city'!A85,COGS!$B$3:$I$10,8,FALSE)/3)*0.4</f>
        <v>2.4000000000000004</v>
      </c>
      <c r="F85" s="59">
        <f>SUMPRODUCT(H85:L85,'Mean order price'!$C$6:$G$6)*G85+P85*'Mean order price'!$H$6</f>
        <v>2.7434000000000007</v>
      </c>
      <c r="G85" s="53">
        <v>0.2</v>
      </c>
      <c r="H85" s="60">
        <v>0.1</v>
      </c>
      <c r="I85" s="60">
        <v>0</v>
      </c>
      <c r="J85" s="60">
        <v>0.4</v>
      </c>
      <c r="K85" s="60">
        <v>0.1</v>
      </c>
      <c r="L85" s="60">
        <v>0.4</v>
      </c>
      <c r="M85" s="60">
        <f t="shared" si="17"/>
        <v>1</v>
      </c>
      <c r="N85" s="61">
        <v>60</v>
      </c>
      <c r="O85" s="62">
        <f t="shared" si="18"/>
        <v>1</v>
      </c>
      <c r="P85" s="62">
        <f t="shared" si="19"/>
        <v>1.6666666666666666E-2</v>
      </c>
      <c r="Q85" s="65">
        <f t="shared" si="14"/>
        <v>-0.34340000000000037</v>
      </c>
      <c r="R85" s="66">
        <f>Таблица1[[#This Row],[Profit]]/Таблица1[[#This Row],[Price]]</f>
        <v>-0.14308333333333348</v>
      </c>
      <c r="S85" s="60">
        <f>VLOOKUP($A85,'Order Composition'!$B$2:$F$10,MATCH($C85,'Order Composition'!$B$2:$F$2,0),0)</f>
        <v>0.55000000000000004</v>
      </c>
      <c r="T85" s="65">
        <f t="shared" si="15"/>
        <v>-0.18887000000000023</v>
      </c>
      <c r="U85" s="65">
        <f>Таблица1[[#This Row],[Price]]*Таблица1[[#This Row],[Order]]</f>
        <v>1.3200000000000003</v>
      </c>
      <c r="V85" s="65">
        <f>Таблица1[[#This Row],[Cost(with labour)]]*Таблица1[[#This Row],[Order]]</f>
        <v>1.5088700000000006</v>
      </c>
      <c r="W85" s="67">
        <f>VLOOKUP($A85,'Mean order price'!$B$2:$H$10,7,0)</f>
        <v>9</v>
      </c>
      <c r="X85" s="68">
        <f t="shared" si="13"/>
        <v>0.15</v>
      </c>
    </row>
    <row r="86" spans="1:24">
      <c r="A86" s="53" t="s">
        <v>52</v>
      </c>
      <c r="B86" s="54">
        <f t="shared" si="16"/>
        <v>83</v>
      </c>
      <c r="C86" s="53" t="s">
        <v>19</v>
      </c>
      <c r="D86" s="53" t="s">
        <v>24</v>
      </c>
      <c r="E86" s="59">
        <f>VLOOKUP('Menu and cost - USA by city'!D86,'Menu and cost - Russia'!$D$4:$P$29,2,FALSE)*(VLOOKUP('Menu and cost - USA by city'!A86,COGS!$B$3:$I$10,8,FALSE)/3)*0.4</f>
        <v>2.4000000000000004</v>
      </c>
      <c r="F86" s="59">
        <f>SUMPRODUCT(H86:L86,'Mean order price'!$C$6:$G$6)*G86+P86*'Mean order price'!$H$6</f>
        <v>3.0922000000000001</v>
      </c>
      <c r="G86" s="53">
        <v>0.2</v>
      </c>
      <c r="H86" s="60">
        <v>0.1</v>
      </c>
      <c r="I86" s="60">
        <v>0.2</v>
      </c>
      <c r="J86" s="60">
        <v>0.3</v>
      </c>
      <c r="K86" s="60">
        <v>0.1</v>
      </c>
      <c r="L86" s="60">
        <v>0.3</v>
      </c>
      <c r="M86" s="60">
        <f t="shared" si="17"/>
        <v>1</v>
      </c>
      <c r="N86" s="61">
        <v>60</v>
      </c>
      <c r="O86" s="62">
        <f t="shared" si="18"/>
        <v>1</v>
      </c>
      <c r="P86" s="62">
        <f t="shared" si="19"/>
        <v>1.6666666666666666E-2</v>
      </c>
      <c r="Q86" s="65">
        <f t="shared" si="14"/>
        <v>-0.6921999999999997</v>
      </c>
      <c r="R86" s="66">
        <f>Таблица1[[#This Row],[Profit]]/Таблица1[[#This Row],[Price]]</f>
        <v>-0.28841666666666649</v>
      </c>
      <c r="S86" s="60">
        <f>VLOOKUP($A86,'Order Composition'!$B$2:$F$10,MATCH($C86,'Order Composition'!$B$2:$F$2,0),0)</f>
        <v>0.55000000000000004</v>
      </c>
      <c r="T86" s="65">
        <f t="shared" si="15"/>
        <v>-0.38070999999999988</v>
      </c>
      <c r="U86" s="65">
        <f>Таблица1[[#This Row],[Price]]*Таблица1[[#This Row],[Order]]</f>
        <v>1.3200000000000003</v>
      </c>
      <c r="V86" s="65">
        <f>Таблица1[[#This Row],[Cost(with labour)]]*Таблица1[[#This Row],[Order]]</f>
        <v>1.7007100000000002</v>
      </c>
      <c r="W86" s="67">
        <f>VLOOKUP($A86,'Mean order price'!$B$2:$H$10,7,0)</f>
        <v>9</v>
      </c>
      <c r="X86" s="68">
        <f t="shared" si="13"/>
        <v>0.15</v>
      </c>
    </row>
    <row r="87" spans="1:24">
      <c r="A87" s="53" t="s">
        <v>52</v>
      </c>
      <c r="B87" s="54">
        <f t="shared" si="16"/>
        <v>84</v>
      </c>
      <c r="C87" s="53" t="s">
        <v>19</v>
      </c>
      <c r="D87" s="53" t="s">
        <v>25</v>
      </c>
      <c r="E87" s="59">
        <f>VLOOKUP('Menu and cost - USA by city'!D87,'Menu and cost - Russia'!$D$4:$P$29,2,FALSE)*(VLOOKUP('Menu and cost - USA by city'!A87,COGS!$B$3:$I$10,8,FALSE)/3)*0.4</f>
        <v>1.2000000000000002</v>
      </c>
      <c r="F87" s="59">
        <f>SUMPRODUCT(H87:L87,'Mean order price'!$C$6:$G$6)*G87+P87*'Mean order price'!$H$6</f>
        <v>1.7680499999999999</v>
      </c>
      <c r="G87" s="53">
        <v>0.1</v>
      </c>
      <c r="H87" s="60">
        <v>0.1</v>
      </c>
      <c r="I87" s="60">
        <v>0</v>
      </c>
      <c r="J87" s="60">
        <v>0.75</v>
      </c>
      <c r="K87" s="60">
        <v>0.05</v>
      </c>
      <c r="L87" s="60">
        <v>0.1</v>
      </c>
      <c r="M87" s="60">
        <f t="shared" si="17"/>
        <v>1</v>
      </c>
      <c r="N87" s="61">
        <v>30</v>
      </c>
      <c r="O87" s="62">
        <f t="shared" si="18"/>
        <v>2</v>
      </c>
      <c r="P87" s="62">
        <f t="shared" si="19"/>
        <v>3.3333333333333333E-2</v>
      </c>
      <c r="Q87" s="65">
        <f t="shared" si="14"/>
        <v>-0.56804999999999972</v>
      </c>
      <c r="R87" s="66">
        <f>Таблица1[[#This Row],[Profit]]/Таблица1[[#This Row],[Price]]</f>
        <v>-0.47337499999999971</v>
      </c>
      <c r="S87" s="60">
        <f>VLOOKUP($A87,'Order Composition'!$B$2:$F$10,MATCH($C87,'Order Composition'!$B$2:$F$2,0),0)</f>
        <v>0.55000000000000004</v>
      </c>
      <c r="T87" s="65">
        <f t="shared" si="15"/>
        <v>-0.31242749999999986</v>
      </c>
      <c r="U87" s="65">
        <f>Таблица1[[#This Row],[Price]]*Таблица1[[#This Row],[Order]]</f>
        <v>0.66000000000000014</v>
      </c>
      <c r="V87" s="65">
        <f>Таблица1[[#This Row],[Cost(with labour)]]*Таблица1[[#This Row],[Order]]</f>
        <v>0.9724275</v>
      </c>
      <c r="W87" s="67">
        <f>VLOOKUP($A87,'Mean order price'!$B$2:$H$10,7,0)</f>
        <v>9</v>
      </c>
      <c r="X87" s="68">
        <f t="shared" si="13"/>
        <v>0.3</v>
      </c>
    </row>
    <row r="88" spans="1:24">
      <c r="A88" s="53" t="s">
        <v>52</v>
      </c>
      <c r="B88" s="54">
        <f t="shared" si="16"/>
        <v>85</v>
      </c>
      <c r="C88" s="53" t="s">
        <v>19</v>
      </c>
      <c r="D88" s="53" t="s">
        <v>26</v>
      </c>
      <c r="E88" s="59">
        <f>VLOOKUP('Menu and cost - USA by city'!D88,'Menu and cost - Russia'!$D$4:$P$29,2,FALSE)*(VLOOKUP('Menu and cost - USA by city'!A88,COGS!$B$3:$I$10,8,FALSE)/3)*0.4</f>
        <v>1.2000000000000002</v>
      </c>
      <c r="F88" s="59">
        <f>SUMPRODUCT(H88:L88,'Mean order price'!$C$6:$G$6)*G88+P88*'Mean order price'!$H$6</f>
        <v>2.0850499999999998</v>
      </c>
      <c r="G88" s="53">
        <v>0.1</v>
      </c>
      <c r="H88" s="60">
        <v>0.1</v>
      </c>
      <c r="I88" s="60">
        <v>0.5</v>
      </c>
      <c r="J88" s="60">
        <v>0.25</v>
      </c>
      <c r="K88" s="60">
        <v>0.05</v>
      </c>
      <c r="L88" s="60">
        <v>0.1</v>
      </c>
      <c r="M88" s="60">
        <f t="shared" si="17"/>
        <v>1</v>
      </c>
      <c r="N88" s="61">
        <v>30</v>
      </c>
      <c r="O88" s="62">
        <f t="shared" si="18"/>
        <v>2</v>
      </c>
      <c r="P88" s="62">
        <f t="shared" si="19"/>
        <v>3.3333333333333333E-2</v>
      </c>
      <c r="Q88" s="65">
        <f t="shared" si="14"/>
        <v>-0.88504999999999967</v>
      </c>
      <c r="R88" s="66">
        <f>Таблица1[[#This Row],[Profit]]/Таблица1[[#This Row],[Price]]</f>
        <v>-0.73754166666666632</v>
      </c>
      <c r="S88" s="60">
        <f>VLOOKUP($A88,'Order Composition'!$B$2:$F$10,MATCH($C88,'Order Composition'!$B$2:$F$2,0),0)</f>
        <v>0.55000000000000004</v>
      </c>
      <c r="T88" s="65">
        <f t="shared" si="15"/>
        <v>-0.48677749999999986</v>
      </c>
      <c r="U88" s="65">
        <f>Таблица1[[#This Row],[Price]]*Таблица1[[#This Row],[Order]]</f>
        <v>0.66000000000000014</v>
      </c>
      <c r="V88" s="65">
        <f>Таблица1[[#This Row],[Cost(with labour)]]*Таблица1[[#This Row],[Order]]</f>
        <v>1.1467775</v>
      </c>
      <c r="W88" s="67">
        <f>VLOOKUP($A88,'Mean order price'!$B$2:$H$10,7,0)</f>
        <v>9</v>
      </c>
      <c r="X88" s="68">
        <f t="shared" si="13"/>
        <v>0.3</v>
      </c>
    </row>
    <row r="89" spans="1:24">
      <c r="A89" s="53" t="s">
        <v>52</v>
      </c>
      <c r="B89" s="54">
        <f t="shared" si="16"/>
        <v>86</v>
      </c>
      <c r="C89" s="53" t="s">
        <v>27</v>
      </c>
      <c r="D89" s="53" t="s">
        <v>28</v>
      </c>
      <c r="E89" s="59">
        <f>VLOOKUP('Menu and cost - USA by city'!D89,'Menu and cost - Russia'!$D$4:$P$29,2,FALSE)*(VLOOKUP('Menu and cost - USA by city'!A89,COGS!$B$3:$I$10,8,FALSE)/3)*0.4</f>
        <v>3.6</v>
      </c>
      <c r="F89" s="59">
        <f>SUMPRODUCT(H89:L89,'Mean order price'!$C$6:$G$6)*G89+P89*'Mean order price'!$H$6</f>
        <v>3.5360999999999998</v>
      </c>
      <c r="G89" s="53">
        <v>0.2</v>
      </c>
      <c r="H89" s="60">
        <v>0.1</v>
      </c>
      <c r="I89" s="60">
        <v>0</v>
      </c>
      <c r="J89" s="60">
        <v>0.75</v>
      </c>
      <c r="K89" s="60">
        <v>0.05</v>
      </c>
      <c r="L89" s="60">
        <v>0.1</v>
      </c>
      <c r="M89" s="60">
        <f t="shared" si="17"/>
        <v>1</v>
      </c>
      <c r="N89" s="61">
        <v>15</v>
      </c>
      <c r="O89" s="62">
        <f t="shared" si="18"/>
        <v>4</v>
      </c>
      <c r="P89" s="62">
        <f t="shared" si="19"/>
        <v>6.6666666666666666E-2</v>
      </c>
      <c r="Q89" s="65">
        <f t="shared" si="14"/>
        <v>6.390000000000029E-2</v>
      </c>
      <c r="R89" s="66">
        <f>Таблица1[[#This Row],[Profit]]/Таблица1[[#This Row],[Price]]</f>
        <v>1.7750000000000082E-2</v>
      </c>
      <c r="S89" s="60">
        <f>VLOOKUP($A89,'Order Composition'!$B$2:$F$10,MATCH($C89,'Order Composition'!$B$2:$F$2,0),0)</f>
        <v>0.9</v>
      </c>
      <c r="T89" s="65">
        <f t="shared" si="15"/>
        <v>5.7510000000000262E-2</v>
      </c>
      <c r="U89" s="65">
        <f>Таблица1[[#This Row],[Price]]*Таблица1[[#This Row],[Order]]</f>
        <v>3.24</v>
      </c>
      <c r="V89" s="65">
        <f>Таблица1[[#This Row],[Cost(with labour)]]*Таблица1[[#This Row],[Order]]</f>
        <v>3.18249</v>
      </c>
      <c r="W89" s="67">
        <f>VLOOKUP($A89,'Mean order price'!$B$2:$H$10,7,0)</f>
        <v>9</v>
      </c>
      <c r="X89" s="68">
        <f t="shared" si="13"/>
        <v>0.6</v>
      </c>
    </row>
    <row r="90" spans="1:24">
      <c r="A90" s="53" t="s">
        <v>52</v>
      </c>
      <c r="B90" s="54">
        <f t="shared" si="16"/>
        <v>87</v>
      </c>
      <c r="C90" s="53" t="s">
        <v>27</v>
      </c>
      <c r="D90" s="53" t="s">
        <v>29</v>
      </c>
      <c r="E90" s="59">
        <f>VLOOKUP('Menu and cost - USA by city'!D90,'Menu and cost - Russia'!$D$4:$P$29,2,FALSE)*(VLOOKUP('Menu and cost - USA by city'!A90,COGS!$B$3:$I$10,8,FALSE)/3)*0.4</f>
        <v>3.6</v>
      </c>
      <c r="F90" s="59">
        <f>SUMPRODUCT(H90:L90,'Mean order price'!$C$6:$G$6)*G90+P90*'Mean order price'!$H$6</f>
        <v>4.9453499999999995</v>
      </c>
      <c r="G90" s="53">
        <v>0.3</v>
      </c>
      <c r="H90" s="60">
        <v>0.3</v>
      </c>
      <c r="I90" s="60">
        <v>0</v>
      </c>
      <c r="J90" s="60">
        <v>0.55000000000000004</v>
      </c>
      <c r="K90" s="60">
        <v>0.05</v>
      </c>
      <c r="L90" s="60">
        <v>0.1</v>
      </c>
      <c r="M90" s="60">
        <f t="shared" si="17"/>
        <v>1.0000000000000002</v>
      </c>
      <c r="N90" s="61">
        <v>15</v>
      </c>
      <c r="O90" s="62">
        <f t="shared" si="18"/>
        <v>4</v>
      </c>
      <c r="P90" s="62">
        <f t="shared" si="19"/>
        <v>6.6666666666666666E-2</v>
      </c>
      <c r="Q90" s="65">
        <f t="shared" si="14"/>
        <v>-1.3453499999999994</v>
      </c>
      <c r="R90" s="66">
        <f>Таблица1[[#This Row],[Profit]]/Таблица1[[#This Row],[Price]]</f>
        <v>-0.37370833333333314</v>
      </c>
      <c r="S90" s="60">
        <f>VLOOKUP($A90,'Order Composition'!$B$2:$F$10,MATCH($C90,'Order Composition'!$B$2:$F$2,0),0)</f>
        <v>0.9</v>
      </c>
      <c r="T90" s="65">
        <f t="shared" si="15"/>
        <v>-1.2108149999999995</v>
      </c>
      <c r="U90" s="65">
        <f>Таблица1[[#This Row],[Price]]*Таблица1[[#This Row],[Order]]</f>
        <v>3.24</v>
      </c>
      <c r="V90" s="65">
        <f>Таблица1[[#This Row],[Cost(with labour)]]*Таблица1[[#This Row],[Order]]</f>
        <v>4.4508149999999995</v>
      </c>
      <c r="W90" s="67">
        <f>VLOOKUP($A90,'Mean order price'!$B$2:$H$10,7,0)</f>
        <v>9</v>
      </c>
      <c r="X90" s="68">
        <f t="shared" si="13"/>
        <v>0.6</v>
      </c>
    </row>
    <row r="91" spans="1:24">
      <c r="A91" s="53" t="s">
        <v>52</v>
      </c>
      <c r="B91" s="54">
        <f t="shared" si="16"/>
        <v>88</v>
      </c>
      <c r="C91" s="53" t="s">
        <v>27</v>
      </c>
      <c r="D91" s="53" t="s">
        <v>30</v>
      </c>
      <c r="E91" s="59">
        <f>VLOOKUP('Menu and cost - USA by city'!D91,'Menu and cost - Russia'!$D$4:$P$29,2,FALSE)*(VLOOKUP('Menu and cost - USA by city'!A91,COGS!$B$3:$I$10,8,FALSE)/3)*0.4</f>
        <v>3.6</v>
      </c>
      <c r="F91" s="59">
        <f>SUMPRODUCT(H91:L91,'Mean order price'!$C$6:$G$6)*G91+P91*'Mean order price'!$H$6</f>
        <v>5.4796499999999995</v>
      </c>
      <c r="G91" s="53">
        <v>0.3</v>
      </c>
      <c r="H91" s="60">
        <v>0.1</v>
      </c>
      <c r="I91" s="60">
        <v>0.25</v>
      </c>
      <c r="J91" s="60">
        <v>0.5</v>
      </c>
      <c r="K91" s="60">
        <v>0.05</v>
      </c>
      <c r="L91" s="60">
        <v>0.1</v>
      </c>
      <c r="M91" s="60">
        <f t="shared" si="17"/>
        <v>1</v>
      </c>
      <c r="N91" s="61">
        <v>15</v>
      </c>
      <c r="O91" s="62">
        <f t="shared" si="18"/>
        <v>4</v>
      </c>
      <c r="P91" s="62">
        <f t="shared" si="19"/>
        <v>6.6666666666666666E-2</v>
      </c>
      <c r="Q91" s="65">
        <f t="shared" si="14"/>
        <v>-1.8796499999999994</v>
      </c>
      <c r="R91" s="66">
        <f>Таблица1[[#This Row],[Profit]]/Таблица1[[#This Row],[Price]]</f>
        <v>-0.52212499999999984</v>
      </c>
      <c r="S91" s="60">
        <f>VLOOKUP($A91,'Order Composition'!$B$2:$F$10,MATCH($C91,'Order Composition'!$B$2:$F$2,0),0)</f>
        <v>0.9</v>
      </c>
      <c r="T91" s="65">
        <f t="shared" si="15"/>
        <v>-1.6916849999999994</v>
      </c>
      <c r="U91" s="65">
        <f>Таблица1[[#This Row],[Price]]*Таблица1[[#This Row],[Order]]</f>
        <v>3.24</v>
      </c>
      <c r="V91" s="65">
        <f>Таблица1[[#This Row],[Cost(with labour)]]*Таблица1[[#This Row],[Order]]</f>
        <v>4.9316849999999999</v>
      </c>
      <c r="W91" s="67">
        <f>VLOOKUP($A91,'Mean order price'!$B$2:$H$10,7,0)</f>
        <v>9</v>
      </c>
      <c r="X91" s="68">
        <f t="shared" si="13"/>
        <v>0.6</v>
      </c>
    </row>
    <row r="92" spans="1:24">
      <c r="A92" s="53" t="s">
        <v>52</v>
      </c>
      <c r="B92" s="54">
        <f t="shared" si="16"/>
        <v>89</v>
      </c>
      <c r="C92" s="53" t="s">
        <v>27</v>
      </c>
      <c r="D92" s="53" t="s">
        <v>31</v>
      </c>
      <c r="E92" s="59">
        <f>VLOOKUP('Menu and cost - USA by city'!D92,'Menu and cost - Russia'!$D$4:$P$29,2,FALSE)*(VLOOKUP('Menu and cost - USA by city'!A92,COGS!$B$3:$I$10,8,FALSE)/3)*0.4</f>
        <v>3.6</v>
      </c>
      <c r="F92" s="59">
        <f>SUMPRODUCT(H92:L92,'Mean order price'!$C$6:$G$6)*G92+P92*'Mean order price'!$H$6</f>
        <v>4.3237000000000005</v>
      </c>
      <c r="G92" s="53">
        <v>0.2</v>
      </c>
      <c r="H92" s="60">
        <v>0.2</v>
      </c>
      <c r="I92" s="60">
        <v>0.4</v>
      </c>
      <c r="J92" s="60">
        <v>0.25</v>
      </c>
      <c r="K92" s="60">
        <v>0.05</v>
      </c>
      <c r="L92" s="60">
        <v>0.1</v>
      </c>
      <c r="M92" s="60">
        <f t="shared" si="17"/>
        <v>1.0000000000000002</v>
      </c>
      <c r="N92" s="61">
        <v>10</v>
      </c>
      <c r="O92" s="62">
        <f t="shared" si="18"/>
        <v>6</v>
      </c>
      <c r="P92" s="62">
        <f t="shared" si="19"/>
        <v>0.1</v>
      </c>
      <c r="Q92" s="65">
        <f t="shared" si="14"/>
        <v>-0.72370000000000045</v>
      </c>
      <c r="R92" s="66">
        <f>Таблица1[[#This Row],[Profit]]/Таблица1[[#This Row],[Price]]</f>
        <v>-0.20102777777777789</v>
      </c>
      <c r="S92" s="60">
        <f>VLOOKUP($A92,'Order Composition'!$B$2:$F$10,MATCH($C92,'Order Composition'!$B$2:$F$2,0),0)</f>
        <v>0.9</v>
      </c>
      <c r="T92" s="65">
        <f t="shared" si="15"/>
        <v>-0.65133000000000041</v>
      </c>
      <c r="U92" s="65">
        <f>Таблица1[[#This Row],[Price]]*Таблица1[[#This Row],[Order]]</f>
        <v>3.24</v>
      </c>
      <c r="V92" s="65">
        <f>Таблица1[[#This Row],[Cost(with labour)]]*Таблица1[[#This Row],[Order]]</f>
        <v>3.8913300000000004</v>
      </c>
      <c r="W92" s="67">
        <f>VLOOKUP($A92,'Mean order price'!$B$2:$H$10,7,0)</f>
        <v>9</v>
      </c>
      <c r="X92" s="68">
        <f t="shared" si="13"/>
        <v>0.9</v>
      </c>
    </row>
    <row r="93" spans="1:24">
      <c r="A93" s="53" t="s">
        <v>52</v>
      </c>
      <c r="B93" s="54">
        <f t="shared" si="16"/>
        <v>90</v>
      </c>
      <c r="C93" s="53" t="s">
        <v>27</v>
      </c>
      <c r="D93" s="53" t="s">
        <v>32</v>
      </c>
      <c r="E93" s="59">
        <f>VLOOKUP('Menu and cost - USA by city'!D93,'Menu and cost - Russia'!$D$4:$P$29,2,FALSE)*(VLOOKUP('Menu and cost - USA by city'!A93,COGS!$B$3:$I$10,8,FALSE)/3)*0.4</f>
        <v>4.8000000000000007</v>
      </c>
      <c r="F93" s="59">
        <f>SUMPRODUCT(H93:L93,'Mean order price'!$C$6:$G$6)*G93+P93*'Mean order price'!$H$6</f>
        <v>6.4159499999999996</v>
      </c>
      <c r="G93" s="53">
        <v>0.3</v>
      </c>
      <c r="H93" s="60">
        <v>0.2</v>
      </c>
      <c r="I93" s="60">
        <v>0.6</v>
      </c>
      <c r="J93" s="60">
        <v>0.05</v>
      </c>
      <c r="K93" s="60">
        <v>0.05</v>
      </c>
      <c r="L93" s="60">
        <v>0.1</v>
      </c>
      <c r="M93" s="60">
        <f t="shared" si="17"/>
        <v>1.0000000000000002</v>
      </c>
      <c r="N93" s="61">
        <v>10</v>
      </c>
      <c r="O93" s="62">
        <f t="shared" si="18"/>
        <v>6</v>
      </c>
      <c r="P93" s="62">
        <f t="shared" si="19"/>
        <v>0.1</v>
      </c>
      <c r="Q93" s="65">
        <f t="shared" si="14"/>
        <v>-1.6159499999999989</v>
      </c>
      <c r="R93" s="66">
        <f>Таблица1[[#This Row],[Profit]]/Таблица1[[#This Row],[Price]]</f>
        <v>-0.33665624999999971</v>
      </c>
      <c r="S93" s="60">
        <f>VLOOKUP($A93,'Order Composition'!$B$2:$F$10,MATCH($C93,'Order Composition'!$B$2:$F$2,0),0)</f>
        <v>0.9</v>
      </c>
      <c r="T93" s="65">
        <f t="shared" si="15"/>
        <v>-1.454354999999999</v>
      </c>
      <c r="U93" s="65">
        <f>Таблица1[[#This Row],[Price]]*Таблица1[[#This Row],[Order]]</f>
        <v>4.3200000000000012</v>
      </c>
      <c r="V93" s="65">
        <f>Таблица1[[#This Row],[Cost(with labour)]]*Таблица1[[#This Row],[Order]]</f>
        <v>5.7743549999999999</v>
      </c>
      <c r="W93" s="67">
        <f>VLOOKUP($A93,'Mean order price'!$B$2:$H$10,7,0)</f>
        <v>9</v>
      </c>
      <c r="X93" s="68">
        <f t="shared" si="13"/>
        <v>0.9</v>
      </c>
    </row>
    <row r="94" spans="1:24">
      <c r="A94" s="53" t="s">
        <v>52</v>
      </c>
      <c r="B94" s="54">
        <f t="shared" si="16"/>
        <v>91</v>
      </c>
      <c r="C94" s="53" t="s">
        <v>27</v>
      </c>
      <c r="D94" s="53" t="s">
        <v>33</v>
      </c>
      <c r="E94" s="59">
        <f>VLOOKUP('Menu and cost - USA by city'!D94,'Menu and cost - Russia'!$D$4:$P$29,2,FALSE)*(VLOOKUP('Menu and cost - USA by city'!A94,COGS!$B$3:$I$10,8,FALSE)/3)*0.4</f>
        <v>4.8000000000000007</v>
      </c>
      <c r="F94" s="59">
        <f>SUMPRODUCT(H94:L94,'Mean order price'!$C$6:$G$6)*G94+P94*'Mean order price'!$H$6</f>
        <v>6.2257499999999997</v>
      </c>
      <c r="G94" s="53">
        <v>0.3</v>
      </c>
      <c r="H94" s="60">
        <v>0.2</v>
      </c>
      <c r="I94" s="60">
        <v>0.5</v>
      </c>
      <c r="J94" s="60">
        <v>0.15</v>
      </c>
      <c r="K94" s="60">
        <v>0.05</v>
      </c>
      <c r="L94" s="60">
        <v>0.1</v>
      </c>
      <c r="M94" s="60">
        <f t="shared" si="17"/>
        <v>1</v>
      </c>
      <c r="N94" s="61">
        <v>10</v>
      </c>
      <c r="O94" s="62">
        <f t="shared" si="18"/>
        <v>6</v>
      </c>
      <c r="P94" s="62">
        <f t="shared" si="19"/>
        <v>0.1</v>
      </c>
      <c r="Q94" s="65">
        <f t="shared" si="14"/>
        <v>-1.425749999999999</v>
      </c>
      <c r="R94" s="66">
        <f>Таблица1[[#This Row],[Profit]]/Таблица1[[#This Row],[Price]]</f>
        <v>-0.29703124999999975</v>
      </c>
      <c r="S94" s="60">
        <f>VLOOKUP($A94,'Order Composition'!$B$2:$F$10,MATCH($C94,'Order Composition'!$B$2:$F$2,0),0)</f>
        <v>0.9</v>
      </c>
      <c r="T94" s="65">
        <f t="shared" si="15"/>
        <v>-1.2831749999999991</v>
      </c>
      <c r="U94" s="65">
        <f>Таблица1[[#This Row],[Price]]*Таблица1[[#This Row],[Order]]</f>
        <v>4.3200000000000012</v>
      </c>
      <c r="V94" s="65">
        <f>Таблица1[[#This Row],[Cost(with labour)]]*Таблица1[[#This Row],[Order]]</f>
        <v>5.6031750000000002</v>
      </c>
      <c r="W94" s="67">
        <f>VLOOKUP($A94,'Mean order price'!$B$2:$H$10,7,0)</f>
        <v>9</v>
      </c>
      <c r="X94" s="68">
        <f t="shared" si="13"/>
        <v>0.9</v>
      </c>
    </row>
    <row r="95" spans="1:24">
      <c r="A95" s="53" t="s">
        <v>52</v>
      </c>
      <c r="B95" s="54">
        <f t="shared" si="16"/>
        <v>92</v>
      </c>
      <c r="C95" s="53" t="s">
        <v>27</v>
      </c>
      <c r="D95" s="53" t="s">
        <v>34</v>
      </c>
      <c r="E95" s="59">
        <f>VLOOKUP('Menu and cost - USA by city'!D95,'Menu and cost - Russia'!$D$4:$P$29,2,FALSE)*(VLOOKUP('Menu and cost - USA by city'!A95,COGS!$B$3:$I$10,8,FALSE)/3)*0.4</f>
        <v>3.6</v>
      </c>
      <c r="F95" s="59">
        <f>SUMPRODUCT(H95:L95,'Mean order price'!$C$6:$G$6)*G95+P95*'Mean order price'!$H$6</f>
        <v>3.5360999999999998</v>
      </c>
      <c r="G95" s="53">
        <v>0.2</v>
      </c>
      <c r="H95" s="60">
        <v>0.1</v>
      </c>
      <c r="I95" s="60">
        <v>0</v>
      </c>
      <c r="J95" s="60">
        <v>0.75</v>
      </c>
      <c r="K95" s="60">
        <v>0.05</v>
      </c>
      <c r="L95" s="60">
        <v>0.1</v>
      </c>
      <c r="M95" s="60">
        <f t="shared" si="17"/>
        <v>1</v>
      </c>
      <c r="N95" s="61">
        <v>15</v>
      </c>
      <c r="O95" s="62">
        <f t="shared" si="18"/>
        <v>4</v>
      </c>
      <c r="P95" s="62">
        <f t="shared" si="19"/>
        <v>6.6666666666666666E-2</v>
      </c>
      <c r="Q95" s="65">
        <f t="shared" si="14"/>
        <v>6.390000000000029E-2</v>
      </c>
      <c r="R95" s="66">
        <f>Таблица1[[#This Row],[Profit]]/Таблица1[[#This Row],[Price]]</f>
        <v>1.7750000000000082E-2</v>
      </c>
      <c r="S95" s="60">
        <f>VLOOKUP($A95,'Order Composition'!$B$2:$F$10,MATCH($C95,'Order Composition'!$B$2:$F$2,0),0)</f>
        <v>0.9</v>
      </c>
      <c r="T95" s="65">
        <f t="shared" si="15"/>
        <v>5.7510000000000262E-2</v>
      </c>
      <c r="U95" s="65">
        <f>Таблица1[[#This Row],[Price]]*Таблица1[[#This Row],[Order]]</f>
        <v>3.24</v>
      </c>
      <c r="V95" s="65">
        <f>Таблица1[[#This Row],[Cost(with labour)]]*Таблица1[[#This Row],[Order]]</f>
        <v>3.18249</v>
      </c>
      <c r="W95" s="67">
        <f>VLOOKUP($A95,'Mean order price'!$B$2:$H$10,7,0)</f>
        <v>9</v>
      </c>
      <c r="X95" s="68">
        <f t="shared" si="13"/>
        <v>0.6</v>
      </c>
    </row>
    <row r="96" spans="1:24">
      <c r="A96" s="53" t="s">
        <v>52</v>
      </c>
      <c r="B96" s="54">
        <f t="shared" si="16"/>
        <v>93</v>
      </c>
      <c r="C96" s="53" t="s">
        <v>27</v>
      </c>
      <c r="D96" s="53" t="s">
        <v>35</v>
      </c>
      <c r="E96" s="59">
        <f>VLOOKUP('Menu and cost - USA by city'!D96,'Menu and cost - Russia'!$D$4:$P$29,2,FALSE)*(VLOOKUP('Menu and cost - USA by city'!A96,COGS!$B$3:$I$10,8,FALSE)/3)*0.4</f>
        <v>3.6</v>
      </c>
      <c r="F96" s="59">
        <f>SUMPRODUCT(H96:L96,'Mean order price'!$C$6:$G$6)*G96+P96*'Mean order price'!$H$6</f>
        <v>3.5165000000000002</v>
      </c>
      <c r="G96" s="53">
        <v>0.2</v>
      </c>
      <c r="H96" s="60">
        <v>0.2</v>
      </c>
      <c r="I96" s="60">
        <v>0</v>
      </c>
      <c r="J96" s="60">
        <v>0.65</v>
      </c>
      <c r="K96" s="60">
        <v>0.05</v>
      </c>
      <c r="L96" s="60">
        <v>0.1</v>
      </c>
      <c r="M96" s="60">
        <f t="shared" si="17"/>
        <v>1.0000000000000002</v>
      </c>
      <c r="N96" s="61">
        <v>15</v>
      </c>
      <c r="O96" s="62">
        <f t="shared" si="18"/>
        <v>4</v>
      </c>
      <c r="P96" s="62">
        <f t="shared" si="19"/>
        <v>6.6666666666666666E-2</v>
      </c>
      <c r="Q96" s="65">
        <f t="shared" si="14"/>
        <v>8.3499999999999908E-2</v>
      </c>
      <c r="R96" s="66">
        <f>Таблица1[[#This Row],[Profit]]/Таблица1[[#This Row],[Price]]</f>
        <v>2.3194444444444417E-2</v>
      </c>
      <c r="S96" s="60">
        <f>VLOOKUP($A96,'Order Composition'!$B$2:$F$10,MATCH($C96,'Order Composition'!$B$2:$F$2,0),0)</f>
        <v>0.9</v>
      </c>
      <c r="T96" s="65">
        <f t="shared" si="15"/>
        <v>7.5149999999999925E-2</v>
      </c>
      <c r="U96" s="65">
        <f>Таблица1[[#This Row],[Price]]*Таблица1[[#This Row],[Order]]</f>
        <v>3.24</v>
      </c>
      <c r="V96" s="65">
        <f>Таблица1[[#This Row],[Cost(with labour)]]*Таблица1[[#This Row],[Order]]</f>
        <v>3.1648500000000004</v>
      </c>
      <c r="W96" s="67">
        <f>VLOOKUP($A96,'Mean order price'!$B$2:$H$10,7,0)</f>
        <v>9</v>
      </c>
      <c r="X96" s="68">
        <f t="shared" si="13"/>
        <v>0.6</v>
      </c>
    </row>
    <row r="97" spans="1:24">
      <c r="A97" s="53" t="s">
        <v>52</v>
      </c>
      <c r="B97" s="54">
        <f t="shared" si="16"/>
        <v>94</v>
      </c>
      <c r="C97" s="53" t="s">
        <v>27</v>
      </c>
      <c r="D97" s="53" t="s">
        <v>36</v>
      </c>
      <c r="E97" s="59">
        <f>VLOOKUP('Menu and cost - USA by city'!D97,'Menu and cost - Russia'!$D$4:$P$29,2,FALSE)*(VLOOKUP('Menu and cost - USA by city'!A97,COGS!$B$3:$I$10,8,FALSE)/3)*0.4</f>
        <v>6</v>
      </c>
      <c r="F97" s="59">
        <f>SUMPRODUCT(H97:L97,'Mean order price'!$C$6:$G$6)*G97+P97*'Mean order price'!$H$6</f>
        <v>6.0846</v>
      </c>
      <c r="G97" s="53">
        <v>0.3</v>
      </c>
      <c r="H97" s="60">
        <v>0</v>
      </c>
      <c r="I97" s="60">
        <v>0.5</v>
      </c>
      <c r="J97" s="60">
        <v>0.2</v>
      </c>
      <c r="K97" s="60">
        <v>0</v>
      </c>
      <c r="L97" s="60">
        <v>0.3</v>
      </c>
      <c r="M97" s="60">
        <f t="shared" si="17"/>
        <v>1</v>
      </c>
      <c r="N97" s="61">
        <v>10</v>
      </c>
      <c r="O97" s="62">
        <f t="shared" si="18"/>
        <v>6</v>
      </c>
      <c r="P97" s="62">
        <f t="shared" si="19"/>
        <v>0.1</v>
      </c>
      <c r="Q97" s="65">
        <f t="shared" si="14"/>
        <v>-8.4600000000000009E-2</v>
      </c>
      <c r="R97" s="66">
        <f>Таблица1[[#This Row],[Profit]]/Таблица1[[#This Row],[Price]]</f>
        <v>-1.4100000000000001E-2</v>
      </c>
      <c r="S97" s="60">
        <f>VLOOKUP($A97,'Order Composition'!$B$2:$F$10,MATCH($C97,'Order Composition'!$B$2:$F$2,0),0)</f>
        <v>0.9</v>
      </c>
      <c r="T97" s="65">
        <f t="shared" si="15"/>
        <v>-7.6140000000000013E-2</v>
      </c>
      <c r="U97" s="65">
        <f>Таблица1[[#This Row],[Price]]*Таблица1[[#This Row],[Order]]</f>
        <v>5.4</v>
      </c>
      <c r="V97" s="65">
        <f>Таблица1[[#This Row],[Cost(with labour)]]*Таблица1[[#This Row],[Order]]</f>
        <v>5.47614</v>
      </c>
      <c r="W97" s="67">
        <f>VLOOKUP($A97,'Mean order price'!$B$2:$H$10,7,0)</f>
        <v>9</v>
      </c>
      <c r="X97" s="68">
        <f t="shared" si="13"/>
        <v>0.9</v>
      </c>
    </row>
    <row r="98" spans="1:24">
      <c r="A98" s="53" t="s">
        <v>52</v>
      </c>
      <c r="B98" s="54">
        <f t="shared" si="16"/>
        <v>95</v>
      </c>
      <c r="C98" s="53" t="s">
        <v>27</v>
      </c>
      <c r="D98" s="53" t="s">
        <v>37</v>
      </c>
      <c r="E98" s="59">
        <f>VLOOKUP('Menu and cost - USA by city'!D98,'Menu and cost - Russia'!$D$4:$P$29,2,FALSE)*(VLOOKUP('Menu and cost - USA by city'!A98,COGS!$B$3:$I$10,8,FALSE)/3)*0.4</f>
        <v>6</v>
      </c>
      <c r="F98" s="59">
        <f>SUMPRODUCT(H98:L98,'Mean order price'!$C$6:$G$6)*G98+P98*'Mean order price'!$H$6</f>
        <v>6.1980000000000004</v>
      </c>
      <c r="G98" s="53">
        <v>0.3</v>
      </c>
      <c r="H98" s="60">
        <v>0.1</v>
      </c>
      <c r="I98" s="60">
        <v>0.5</v>
      </c>
      <c r="J98" s="60">
        <v>0.2</v>
      </c>
      <c r="K98" s="60">
        <v>0</v>
      </c>
      <c r="L98" s="60">
        <v>0.2</v>
      </c>
      <c r="M98" s="60">
        <f t="shared" si="17"/>
        <v>1</v>
      </c>
      <c r="N98" s="61">
        <v>10</v>
      </c>
      <c r="O98" s="62">
        <f t="shared" si="18"/>
        <v>6</v>
      </c>
      <c r="P98" s="62">
        <f t="shared" si="19"/>
        <v>0.1</v>
      </c>
      <c r="Q98" s="65">
        <f t="shared" si="14"/>
        <v>-0.1980000000000004</v>
      </c>
      <c r="R98" s="66">
        <f>Таблица1[[#This Row],[Profit]]/Таблица1[[#This Row],[Price]]</f>
        <v>-3.3000000000000064E-2</v>
      </c>
      <c r="S98" s="60">
        <f>VLOOKUP($A98,'Order Composition'!$B$2:$F$10,MATCH($C98,'Order Composition'!$B$2:$F$2,0),0)</f>
        <v>0.9</v>
      </c>
      <c r="T98" s="65">
        <f t="shared" si="15"/>
        <v>-0.17820000000000036</v>
      </c>
      <c r="U98" s="65">
        <f>Таблица1[[#This Row],[Price]]*Таблица1[[#This Row],[Order]]</f>
        <v>5.4</v>
      </c>
      <c r="V98" s="65">
        <f>Таблица1[[#This Row],[Cost(with labour)]]*Таблица1[[#This Row],[Order]]</f>
        <v>5.5782000000000007</v>
      </c>
      <c r="W98" s="67">
        <f>VLOOKUP($A98,'Mean order price'!$B$2:$H$10,7,0)</f>
        <v>9</v>
      </c>
      <c r="X98" s="68">
        <f t="shared" si="13"/>
        <v>0.9</v>
      </c>
    </row>
    <row r="99" spans="1:24">
      <c r="A99" s="53" t="s">
        <v>52</v>
      </c>
      <c r="B99" s="54">
        <f t="shared" si="16"/>
        <v>96</v>
      </c>
      <c r="C99" s="53" t="s">
        <v>38</v>
      </c>
      <c r="D99" s="53" t="s">
        <v>39</v>
      </c>
      <c r="E99" s="59">
        <f>VLOOKUP('Menu and cost - USA by city'!D99,'Menu and cost - Russia'!$D$4:$P$29,2,FALSE)*(VLOOKUP('Menu and cost - USA by city'!A99,COGS!$B$3:$I$10,8,FALSE)/3)*0.4</f>
        <v>3.6</v>
      </c>
      <c r="F99" s="59">
        <f>SUMPRODUCT(H99:L99,'Mean order price'!$C$6:$G$6)*G99+P99*'Mean order price'!$H$6</f>
        <v>2.5374000000000003</v>
      </c>
      <c r="G99" s="53">
        <v>0.15</v>
      </c>
      <c r="H99" s="60">
        <v>0.2</v>
      </c>
      <c r="I99" s="60">
        <v>0</v>
      </c>
      <c r="J99" s="60">
        <v>0.5</v>
      </c>
      <c r="K99" s="60">
        <v>0</v>
      </c>
      <c r="L99" s="60">
        <v>0.3</v>
      </c>
      <c r="M99" s="60">
        <f t="shared" si="17"/>
        <v>1</v>
      </c>
      <c r="N99" s="61">
        <v>20</v>
      </c>
      <c r="O99" s="62">
        <f t="shared" si="18"/>
        <v>3</v>
      </c>
      <c r="P99" s="62">
        <f t="shared" si="19"/>
        <v>0.05</v>
      </c>
      <c r="Q99" s="65">
        <f t="shared" si="14"/>
        <v>1.0625999999999998</v>
      </c>
      <c r="R99" s="66">
        <f>Таблица1[[#This Row],[Profit]]/Таблица1[[#This Row],[Price]]</f>
        <v>0.29516666666666658</v>
      </c>
      <c r="S99" s="60">
        <f>VLOOKUP($A99,'Order Composition'!$B$2:$F$10,MATCH($C99,'Order Composition'!$B$2:$F$2,0),0)</f>
        <v>0.7</v>
      </c>
      <c r="T99" s="65">
        <f t="shared" si="15"/>
        <v>0.74381999999999981</v>
      </c>
      <c r="U99" s="65">
        <f>Таблица1[[#This Row],[Price]]*Таблица1[[#This Row],[Order]]</f>
        <v>2.52</v>
      </c>
      <c r="V99" s="65">
        <f>Таблица1[[#This Row],[Cost(with labour)]]*Таблица1[[#This Row],[Order]]</f>
        <v>1.7761800000000001</v>
      </c>
      <c r="W99" s="67">
        <f>VLOOKUP($A99,'Mean order price'!$B$2:$H$10,7,0)</f>
        <v>9</v>
      </c>
      <c r="X99" s="68">
        <f t="shared" si="13"/>
        <v>0.45</v>
      </c>
    </row>
    <row r="100" spans="1:24">
      <c r="A100" s="53" t="s">
        <v>52</v>
      </c>
      <c r="B100" s="54">
        <f t="shared" si="16"/>
        <v>97</v>
      </c>
      <c r="C100" s="53" t="s">
        <v>38</v>
      </c>
      <c r="D100" s="53" t="s">
        <v>40</v>
      </c>
      <c r="E100" s="59">
        <f>VLOOKUP('Menu and cost - USA by city'!D100,'Menu and cost - Russia'!$D$4:$P$29,2,FALSE)*(VLOOKUP('Menu and cost - USA by city'!A100,COGS!$B$3:$I$10,8,FALSE)/3)*0.4</f>
        <v>3.6</v>
      </c>
      <c r="F100" s="59">
        <f>SUMPRODUCT(H100:L100,'Mean order price'!$C$6:$G$6)*G100+P100*'Mean order price'!$H$6</f>
        <v>2.5374000000000003</v>
      </c>
      <c r="G100" s="53">
        <v>0.15</v>
      </c>
      <c r="H100" s="60">
        <v>0.2</v>
      </c>
      <c r="I100" s="60">
        <v>0</v>
      </c>
      <c r="J100" s="60">
        <v>0.5</v>
      </c>
      <c r="K100" s="60">
        <v>0</v>
      </c>
      <c r="L100" s="60">
        <v>0.3</v>
      </c>
      <c r="M100" s="60">
        <f t="shared" si="17"/>
        <v>1</v>
      </c>
      <c r="N100" s="61">
        <v>20</v>
      </c>
      <c r="O100" s="62">
        <f t="shared" si="18"/>
        <v>3</v>
      </c>
      <c r="P100" s="62">
        <f t="shared" si="19"/>
        <v>0.05</v>
      </c>
      <c r="Q100" s="65">
        <f t="shared" si="14"/>
        <v>1.0625999999999998</v>
      </c>
      <c r="R100" s="66">
        <f>Таблица1[[#This Row],[Profit]]/Таблица1[[#This Row],[Price]]</f>
        <v>0.29516666666666658</v>
      </c>
      <c r="S100" s="60">
        <f>VLOOKUP($A100,'Order Composition'!$B$2:$F$10,MATCH($C100,'Order Composition'!$B$2:$F$2,0),0)</f>
        <v>0.7</v>
      </c>
      <c r="T100" s="65">
        <f t="shared" si="15"/>
        <v>0.74381999999999981</v>
      </c>
      <c r="U100" s="65">
        <f>Таблица1[[#This Row],[Price]]*Таблица1[[#This Row],[Order]]</f>
        <v>2.52</v>
      </c>
      <c r="V100" s="65">
        <f>Таблица1[[#This Row],[Cost(with labour)]]*Таблица1[[#This Row],[Order]]</f>
        <v>1.7761800000000001</v>
      </c>
      <c r="W100" s="67">
        <f>VLOOKUP($A100,'Mean order price'!$B$2:$H$10,7,0)</f>
        <v>9</v>
      </c>
      <c r="X100" s="68">
        <f t="shared" si="13"/>
        <v>0.45</v>
      </c>
    </row>
    <row r="101" spans="1:24">
      <c r="A101" s="53" t="s">
        <v>52</v>
      </c>
      <c r="B101" s="54">
        <f t="shared" si="16"/>
        <v>98</v>
      </c>
      <c r="C101" s="53" t="s">
        <v>38</v>
      </c>
      <c r="D101" s="53" t="s">
        <v>41</v>
      </c>
      <c r="E101" s="59">
        <f>VLOOKUP('Menu and cost - USA by city'!D101,'Menu and cost - Russia'!$D$4:$P$29,2,FALSE)*(VLOOKUP('Menu and cost - USA by city'!A101,COGS!$B$3:$I$10,8,FALSE)/3)*0.4</f>
        <v>1.8</v>
      </c>
      <c r="F101" s="59">
        <f>SUMPRODUCT(H101:L101,'Mean order price'!$C$6:$G$6)*G101+P101*'Mean order price'!$H$6</f>
        <v>1.5416000000000001</v>
      </c>
      <c r="G101" s="53">
        <v>0.1</v>
      </c>
      <c r="H101" s="60">
        <v>0.2</v>
      </c>
      <c r="I101" s="60">
        <v>0</v>
      </c>
      <c r="J101" s="60">
        <v>0.5</v>
      </c>
      <c r="K101" s="60">
        <v>0</v>
      </c>
      <c r="L101" s="60">
        <v>0.3</v>
      </c>
      <c r="M101" s="60">
        <f t="shared" si="17"/>
        <v>1</v>
      </c>
      <c r="N101" s="61">
        <v>60</v>
      </c>
      <c r="O101" s="62">
        <f t="shared" si="18"/>
        <v>1</v>
      </c>
      <c r="P101" s="62">
        <f t="shared" si="19"/>
        <v>1.6666666666666666E-2</v>
      </c>
      <c r="Q101" s="65">
        <f t="shared" si="14"/>
        <v>0.25839999999999996</v>
      </c>
      <c r="R101" s="66">
        <f>Таблица1[[#This Row],[Profit]]/Таблица1[[#This Row],[Price]]</f>
        <v>0.14355555555555552</v>
      </c>
      <c r="S101" s="60">
        <f>VLOOKUP($A101,'Order Composition'!$B$2:$F$10,MATCH($C101,'Order Composition'!$B$2:$F$2,0),0)</f>
        <v>0.7</v>
      </c>
      <c r="T101" s="65">
        <f t="shared" si="15"/>
        <v>0.18087999999999996</v>
      </c>
      <c r="U101" s="65">
        <f>Таблица1[[#This Row],[Price]]*Таблица1[[#This Row],[Order]]</f>
        <v>1.26</v>
      </c>
      <c r="V101" s="65">
        <f>Таблица1[[#This Row],[Cost(with labour)]]*Таблица1[[#This Row],[Order]]</f>
        <v>1.0791200000000001</v>
      </c>
      <c r="W101" s="67">
        <f>VLOOKUP($A101,'Mean order price'!$B$2:$H$10,7,0)</f>
        <v>9</v>
      </c>
      <c r="X101" s="68">
        <f t="shared" si="13"/>
        <v>0.15</v>
      </c>
    </row>
    <row r="102" spans="1:24">
      <c r="A102" s="53" t="s">
        <v>52</v>
      </c>
      <c r="B102" s="54">
        <f t="shared" si="16"/>
        <v>99</v>
      </c>
      <c r="C102" s="53" t="s">
        <v>11</v>
      </c>
      <c r="D102" s="53" t="s">
        <v>42</v>
      </c>
      <c r="E102" s="59">
        <f>VLOOKUP('Menu and cost - USA by city'!D102,'Menu and cost - Russia'!$D$4:$P$29,2,FALSE)*(VLOOKUP('Menu and cost - USA by city'!A102,COGS!$B$3:$I$10,8,FALSE)/3)*0.4</f>
        <v>1.8</v>
      </c>
      <c r="F102" s="59">
        <f>SUMPRODUCT(H102:L102,'Mean order price'!$C$6:$G$6)*G102+P102*'Mean order price'!$H$6</f>
        <v>2.0410000000000004</v>
      </c>
      <c r="G102" s="53">
        <v>0.2</v>
      </c>
      <c r="H102" s="60">
        <v>0</v>
      </c>
      <c r="I102" s="60">
        <v>0</v>
      </c>
      <c r="J102" s="60">
        <v>0</v>
      </c>
      <c r="K102" s="60">
        <v>1</v>
      </c>
      <c r="L102" s="60">
        <v>0</v>
      </c>
      <c r="M102" s="60">
        <f t="shared" si="17"/>
        <v>1</v>
      </c>
      <c r="N102" s="61">
        <v>120</v>
      </c>
      <c r="O102" s="62">
        <f t="shared" si="18"/>
        <v>0.5</v>
      </c>
      <c r="P102" s="62">
        <f t="shared" si="19"/>
        <v>8.3333333333333332E-3</v>
      </c>
      <c r="Q102" s="65">
        <f t="shared" si="14"/>
        <v>-0.24100000000000033</v>
      </c>
      <c r="R102" s="66">
        <f>Таблица1[[#This Row],[Profit]]/Таблица1[[#This Row],[Price]]</f>
        <v>-0.13388888888888906</v>
      </c>
      <c r="S102" s="60">
        <f>VLOOKUP($A102,'Order Composition'!$B$2:$F$10,MATCH($C102,'Order Composition'!$B$2:$F$2,0),0)</f>
        <v>0.9</v>
      </c>
      <c r="T102" s="65">
        <f t="shared" si="15"/>
        <v>-0.21690000000000029</v>
      </c>
      <c r="U102" s="65">
        <f>Таблица1[[#This Row],[Price]]*Таблица1[[#This Row],[Order]]</f>
        <v>1.62</v>
      </c>
      <c r="V102" s="65">
        <f>Таблица1[[#This Row],[Cost(with labour)]]*Таблица1[[#This Row],[Order]]</f>
        <v>1.8369000000000004</v>
      </c>
      <c r="W102" s="67">
        <f>VLOOKUP($A102,'Mean order price'!$B$2:$H$10,7,0)</f>
        <v>9</v>
      </c>
      <c r="X102" s="68">
        <f t="shared" si="13"/>
        <v>7.4999999999999997E-2</v>
      </c>
    </row>
    <row r="103" spans="1:24">
      <c r="A103" s="53" t="s">
        <v>52</v>
      </c>
      <c r="B103" s="54">
        <f t="shared" si="16"/>
        <v>100</v>
      </c>
      <c r="C103" s="53" t="s">
        <v>11</v>
      </c>
      <c r="D103" s="53" t="s">
        <v>43</v>
      </c>
      <c r="E103" s="59">
        <f>VLOOKUP('Menu and cost - USA by city'!D103,'Menu and cost - Russia'!$D$4:$P$29,2,FALSE)*(VLOOKUP('Menu and cost - USA by city'!A103,COGS!$B$3:$I$10,8,FALSE)/3)*0.4</f>
        <v>1.8</v>
      </c>
      <c r="F103" s="59">
        <f>SUMPRODUCT(H103:L103,'Mean order price'!$C$6:$G$6)*G103+P103*'Mean order price'!$H$6</f>
        <v>2.0410000000000004</v>
      </c>
      <c r="G103" s="53">
        <v>0.2</v>
      </c>
      <c r="H103" s="60">
        <v>0</v>
      </c>
      <c r="I103" s="60">
        <v>0</v>
      </c>
      <c r="J103" s="60">
        <v>0</v>
      </c>
      <c r="K103" s="60">
        <v>1</v>
      </c>
      <c r="L103" s="60">
        <v>0</v>
      </c>
      <c r="M103" s="60">
        <f t="shared" si="17"/>
        <v>1</v>
      </c>
      <c r="N103" s="61">
        <v>120</v>
      </c>
      <c r="O103" s="62">
        <f t="shared" si="18"/>
        <v>0.5</v>
      </c>
      <c r="P103" s="62">
        <f t="shared" si="19"/>
        <v>8.3333333333333332E-3</v>
      </c>
      <c r="Q103" s="65">
        <f t="shared" si="14"/>
        <v>-0.24100000000000033</v>
      </c>
      <c r="R103" s="66">
        <f>Таблица1[[#This Row],[Profit]]/Таблица1[[#This Row],[Price]]</f>
        <v>-0.13388888888888906</v>
      </c>
      <c r="S103" s="60">
        <f>VLOOKUP($A103,'Order Composition'!$B$2:$F$10,MATCH($C103,'Order Composition'!$B$2:$F$2,0),0)</f>
        <v>0.9</v>
      </c>
      <c r="T103" s="65">
        <f t="shared" si="15"/>
        <v>-0.21690000000000029</v>
      </c>
      <c r="U103" s="65">
        <f>Таблица1[[#This Row],[Price]]*Таблица1[[#This Row],[Order]]</f>
        <v>1.62</v>
      </c>
      <c r="V103" s="65">
        <f>Таблица1[[#This Row],[Cost(with labour)]]*Таблица1[[#This Row],[Order]]</f>
        <v>1.8369000000000004</v>
      </c>
      <c r="W103" s="67">
        <f>VLOOKUP($A103,'Mean order price'!$B$2:$H$10,7,0)</f>
        <v>9</v>
      </c>
      <c r="X103" s="68">
        <f t="shared" si="13"/>
        <v>7.4999999999999997E-2</v>
      </c>
    </row>
    <row r="104" spans="1:24">
      <c r="A104" s="53" t="s">
        <v>52</v>
      </c>
      <c r="B104" s="54">
        <f t="shared" si="16"/>
        <v>101</v>
      </c>
      <c r="C104" s="53" t="s">
        <v>11</v>
      </c>
      <c r="D104" s="53" t="s">
        <v>44</v>
      </c>
      <c r="E104" s="59">
        <f>VLOOKUP('Menu and cost - USA by city'!D104,'Menu and cost - Russia'!$D$4:$P$29,2,FALSE)*(VLOOKUP('Menu and cost - USA by city'!A104,COGS!$B$3:$I$10,8,FALSE)/3)*0.4</f>
        <v>2.4000000000000004</v>
      </c>
      <c r="F104" s="59">
        <f>SUMPRODUCT(H104:L104,'Mean order price'!$C$6:$G$6)*G104+P104*'Mean order price'!$H$6</f>
        <v>2.3444000000000003</v>
      </c>
      <c r="G104" s="53">
        <v>0.2</v>
      </c>
      <c r="H104" s="60">
        <v>0</v>
      </c>
      <c r="I104" s="60">
        <v>0</v>
      </c>
      <c r="J104" s="60">
        <v>0.2</v>
      </c>
      <c r="K104" s="60">
        <v>0.8</v>
      </c>
      <c r="L104" s="60">
        <v>0</v>
      </c>
      <c r="M104" s="60">
        <f t="shared" si="17"/>
        <v>1</v>
      </c>
      <c r="N104" s="61">
        <v>60</v>
      </c>
      <c r="O104" s="62">
        <f t="shared" si="18"/>
        <v>1</v>
      </c>
      <c r="P104" s="62">
        <f t="shared" si="19"/>
        <v>1.6666666666666666E-2</v>
      </c>
      <c r="Q104" s="65">
        <f t="shared" si="14"/>
        <v>5.5600000000000094E-2</v>
      </c>
      <c r="R104" s="66">
        <f>Таблица1[[#This Row],[Profit]]/Таблица1[[#This Row],[Price]]</f>
        <v>2.3166666666666703E-2</v>
      </c>
      <c r="S104" s="60">
        <f>VLOOKUP($A104,'Order Composition'!$B$2:$F$10,MATCH($C104,'Order Composition'!$B$2:$F$2,0),0)</f>
        <v>0.9</v>
      </c>
      <c r="T104" s="65">
        <f t="shared" si="15"/>
        <v>5.0040000000000084E-2</v>
      </c>
      <c r="U104" s="65">
        <f>Таблица1[[#This Row],[Price]]*Таблица1[[#This Row],[Order]]</f>
        <v>2.1600000000000006</v>
      </c>
      <c r="V104" s="65">
        <f>Таблица1[[#This Row],[Cost(with labour)]]*Таблица1[[#This Row],[Order]]</f>
        <v>2.1099600000000005</v>
      </c>
      <c r="W104" s="67">
        <f>VLOOKUP($A104,'Mean order price'!$B$2:$H$10,7,0)</f>
        <v>9</v>
      </c>
      <c r="X104" s="68">
        <f t="shared" si="13"/>
        <v>0.15</v>
      </c>
    </row>
    <row r="105" spans="1:24">
      <c r="A105" s="53" t="s">
        <v>52</v>
      </c>
      <c r="B105" s="54">
        <f t="shared" si="16"/>
        <v>102</v>
      </c>
      <c r="C105" s="53" t="s">
        <v>11</v>
      </c>
      <c r="D105" s="53" t="s">
        <v>45</v>
      </c>
      <c r="E105" s="59">
        <f>VLOOKUP('Menu and cost - USA by city'!D105,'Menu and cost - Russia'!$D$4:$P$29,2,FALSE)*(VLOOKUP('Menu and cost - USA by city'!A105,COGS!$B$3:$I$10,8,FALSE)/3)*0.4</f>
        <v>2.4000000000000004</v>
      </c>
      <c r="F105" s="59">
        <f>SUMPRODUCT(H105:L105,'Mean order price'!$C$6:$G$6)*G105+P105*'Mean order price'!$H$6</f>
        <v>2.3444000000000003</v>
      </c>
      <c r="G105" s="53">
        <v>0.2</v>
      </c>
      <c r="H105" s="60">
        <v>0</v>
      </c>
      <c r="I105" s="60">
        <v>0</v>
      </c>
      <c r="J105" s="60">
        <v>0.2</v>
      </c>
      <c r="K105" s="60">
        <v>0.8</v>
      </c>
      <c r="L105" s="60">
        <v>0</v>
      </c>
      <c r="M105" s="60">
        <f t="shared" si="17"/>
        <v>1</v>
      </c>
      <c r="N105" s="61">
        <v>60</v>
      </c>
      <c r="O105" s="62">
        <f t="shared" si="18"/>
        <v>1</v>
      </c>
      <c r="P105" s="62">
        <f t="shared" si="19"/>
        <v>1.6666666666666666E-2</v>
      </c>
      <c r="Q105" s="65">
        <f t="shared" si="14"/>
        <v>5.5600000000000094E-2</v>
      </c>
      <c r="R105" s="66">
        <f>Таблица1[[#This Row],[Profit]]/Таблица1[[#This Row],[Price]]</f>
        <v>2.3166666666666703E-2</v>
      </c>
      <c r="S105" s="60">
        <f>VLOOKUP($A105,'Order Composition'!$B$2:$F$10,MATCH($C105,'Order Composition'!$B$2:$F$2,0),0)</f>
        <v>0.9</v>
      </c>
      <c r="T105" s="65">
        <f t="shared" si="15"/>
        <v>5.0040000000000084E-2</v>
      </c>
      <c r="U105" s="65">
        <f>Таблица1[[#This Row],[Price]]*Таблица1[[#This Row],[Order]]</f>
        <v>2.1600000000000006</v>
      </c>
      <c r="V105" s="65">
        <f>Таблица1[[#This Row],[Cost(with labour)]]*Таблица1[[#This Row],[Order]]</f>
        <v>2.1099600000000005</v>
      </c>
      <c r="W105" s="67">
        <f>VLOOKUP($A105,'Mean order price'!$B$2:$H$10,7,0)</f>
        <v>9</v>
      </c>
      <c r="X105" s="68">
        <f t="shared" si="13"/>
        <v>0.15</v>
      </c>
    </row>
    <row r="106" spans="1:24">
      <c r="A106" s="53" t="s">
        <v>52</v>
      </c>
      <c r="B106" s="54">
        <f t="shared" si="16"/>
        <v>103</v>
      </c>
      <c r="C106" s="53" t="s">
        <v>11</v>
      </c>
      <c r="D106" s="53" t="s">
        <v>46</v>
      </c>
      <c r="E106" s="59">
        <f>VLOOKUP('Menu and cost - USA by city'!D106,'Menu and cost - Russia'!$D$4:$P$29,2,FALSE)*(VLOOKUP('Menu and cost - USA by city'!A106,COGS!$B$3:$I$10,8,FALSE)/3)*0.4</f>
        <v>1.8</v>
      </c>
      <c r="F106" s="59">
        <f>SUMPRODUCT(H106:L106,'Mean order price'!$C$6:$G$6)*G106+P106*'Mean order price'!$H$6</f>
        <v>2.1910000000000003</v>
      </c>
      <c r="G106" s="53">
        <v>0.2</v>
      </c>
      <c r="H106" s="60">
        <v>0</v>
      </c>
      <c r="I106" s="60">
        <v>0</v>
      </c>
      <c r="J106" s="60">
        <v>0</v>
      </c>
      <c r="K106" s="60">
        <v>1</v>
      </c>
      <c r="L106" s="60">
        <v>0</v>
      </c>
      <c r="M106" s="60">
        <f t="shared" si="17"/>
        <v>1</v>
      </c>
      <c r="N106" s="61">
        <v>40</v>
      </c>
      <c r="O106" s="62">
        <f t="shared" si="18"/>
        <v>1.5</v>
      </c>
      <c r="P106" s="62">
        <f t="shared" si="19"/>
        <v>2.5000000000000001E-2</v>
      </c>
      <c r="Q106" s="65">
        <f t="shared" si="14"/>
        <v>-0.39100000000000024</v>
      </c>
      <c r="R106" s="66">
        <f>Таблица1[[#This Row],[Profit]]/Таблица1[[#This Row],[Price]]</f>
        <v>-0.21722222222222234</v>
      </c>
      <c r="S106" s="60">
        <f>VLOOKUP($A106,'Order Composition'!$B$2:$F$10,MATCH($C106,'Order Composition'!$B$2:$F$2,0),0)</f>
        <v>0.9</v>
      </c>
      <c r="T106" s="65">
        <f t="shared" si="15"/>
        <v>-0.35190000000000021</v>
      </c>
      <c r="U106" s="65">
        <f>Таблица1[[#This Row],[Price]]*Таблица1[[#This Row],[Order]]</f>
        <v>1.62</v>
      </c>
      <c r="V106" s="65">
        <f>Таблица1[[#This Row],[Cost(with labour)]]*Таблица1[[#This Row],[Order]]</f>
        <v>1.9719000000000002</v>
      </c>
      <c r="W106" s="67">
        <f>VLOOKUP($A106,'Mean order price'!$B$2:$H$10,7,0)</f>
        <v>9</v>
      </c>
      <c r="X106" s="68">
        <f t="shared" si="13"/>
        <v>0.22500000000000001</v>
      </c>
    </row>
    <row r="107" spans="1:24">
      <c r="A107" s="53" t="s">
        <v>52</v>
      </c>
      <c r="B107" s="54">
        <f t="shared" si="16"/>
        <v>104</v>
      </c>
      <c r="C107" s="53" t="s">
        <v>11</v>
      </c>
      <c r="D107" s="53" t="s">
        <v>47</v>
      </c>
      <c r="E107" s="59">
        <f>VLOOKUP('Menu and cost - USA by city'!D107,'Menu and cost - Russia'!$D$4:$P$29,2,FALSE)*(VLOOKUP('Menu and cost - USA by city'!A107,COGS!$B$3:$I$10,8,FALSE)/3)*0.4</f>
        <v>1.8</v>
      </c>
      <c r="F107" s="59">
        <f>SUMPRODUCT(H107:L107,'Mean order price'!$C$6:$G$6)*G107+P107*'Mean order price'!$H$6</f>
        <v>2.3052000000000001</v>
      </c>
      <c r="G107" s="53">
        <v>0.2</v>
      </c>
      <c r="H107" s="60">
        <v>0</v>
      </c>
      <c r="I107" s="60">
        <v>0</v>
      </c>
      <c r="J107" s="60">
        <v>0.1</v>
      </c>
      <c r="K107" s="60">
        <v>0.9</v>
      </c>
      <c r="L107" s="60">
        <v>0</v>
      </c>
      <c r="M107" s="60">
        <f t="shared" si="17"/>
        <v>1</v>
      </c>
      <c r="N107" s="61">
        <v>40</v>
      </c>
      <c r="O107" s="62">
        <f t="shared" si="18"/>
        <v>1.5</v>
      </c>
      <c r="P107" s="62">
        <f t="shared" si="19"/>
        <v>2.5000000000000001E-2</v>
      </c>
      <c r="Q107" s="65">
        <f t="shared" si="14"/>
        <v>-0.50520000000000009</v>
      </c>
      <c r="R107" s="66">
        <f>Таблица1[[#This Row],[Profit]]/Таблица1[[#This Row],[Price]]</f>
        <v>-0.28066666666666673</v>
      </c>
      <c r="S107" s="60">
        <f>VLOOKUP($A107,'Order Composition'!$B$2:$F$10,MATCH($C107,'Order Composition'!$B$2:$F$2,0),0)</f>
        <v>0.9</v>
      </c>
      <c r="T107" s="65">
        <f t="shared" si="15"/>
        <v>-0.45468000000000008</v>
      </c>
      <c r="U107" s="65">
        <f>Таблица1[[#This Row],[Price]]*Таблица1[[#This Row],[Order]]</f>
        <v>1.62</v>
      </c>
      <c r="V107" s="65">
        <f>Таблица1[[#This Row],[Cost(with labour)]]*Таблица1[[#This Row],[Order]]</f>
        <v>2.0746800000000003</v>
      </c>
      <c r="W107" s="67">
        <f>VLOOKUP($A107,'Mean order price'!$B$2:$H$10,7,0)</f>
        <v>9</v>
      </c>
      <c r="X107" s="68">
        <f t="shared" si="13"/>
        <v>0.22500000000000001</v>
      </c>
    </row>
    <row r="108" spans="1:24">
      <c r="A108" s="53" t="s">
        <v>53</v>
      </c>
      <c r="B108" s="54">
        <f t="shared" si="16"/>
        <v>105</v>
      </c>
      <c r="C108" s="53" t="s">
        <v>19</v>
      </c>
      <c r="D108" s="53" t="s">
        <v>20</v>
      </c>
      <c r="E108" s="59">
        <f>VLOOKUP('Menu and cost - USA by city'!D108,'Menu and cost - Russia'!$D$4:$P$29,2,FALSE)*(VLOOKUP('Menu and cost - USA by city'!A108,COGS!$B$3:$I$10,8,FALSE)/3)*0.4</f>
        <v>3.8000000000000003</v>
      </c>
      <c r="F108" s="59">
        <f>SUMPRODUCT(H108:L108,'Mean order price'!$C$7:$G$7)*G108+P108*'Mean order price'!$H$7</f>
        <v>3.3984000000000005</v>
      </c>
      <c r="G108" s="53">
        <v>0.2</v>
      </c>
      <c r="H108" s="60">
        <v>0</v>
      </c>
      <c r="I108" s="60">
        <v>0</v>
      </c>
      <c r="J108" s="60">
        <v>0.9</v>
      </c>
      <c r="K108" s="60">
        <v>0</v>
      </c>
      <c r="L108" s="60">
        <v>0.1</v>
      </c>
      <c r="M108" s="60">
        <f t="shared" si="17"/>
        <v>1</v>
      </c>
      <c r="N108" s="61">
        <v>20</v>
      </c>
      <c r="O108" s="62">
        <f t="shared" si="18"/>
        <v>3</v>
      </c>
      <c r="P108" s="62">
        <f t="shared" si="19"/>
        <v>0.05</v>
      </c>
      <c r="Q108" s="65">
        <f t="shared" si="14"/>
        <v>0.40159999999999973</v>
      </c>
      <c r="R108" s="66">
        <f>Таблица1[[#This Row],[Profit]]/Таблица1[[#This Row],[Price]]</f>
        <v>0.10568421052631571</v>
      </c>
      <c r="S108" s="60">
        <f>VLOOKUP($A108,'Order Composition'!$B$2:$F$10,MATCH($C108,'Order Composition'!$B$2:$F$2,0),0)</f>
        <v>0.5</v>
      </c>
      <c r="T108" s="65">
        <f t="shared" si="15"/>
        <v>0.20079999999999987</v>
      </c>
      <c r="U108" s="65">
        <f>Таблица1[[#This Row],[Price]]*Таблица1[[#This Row],[Order]]</f>
        <v>1.9000000000000001</v>
      </c>
      <c r="V108" s="65">
        <f>Таблица1[[#This Row],[Cost(with labour)]]*Таблица1[[#This Row],[Order]]</f>
        <v>1.6992000000000003</v>
      </c>
      <c r="W108" s="67">
        <f>VLOOKUP($A108,'Mean order price'!$B$2:$H$10,7,0)</f>
        <v>9.5</v>
      </c>
      <c r="X108" s="68">
        <f t="shared" si="13"/>
        <v>0.47500000000000003</v>
      </c>
    </row>
    <row r="109" spans="1:24">
      <c r="A109" s="53" t="s">
        <v>53</v>
      </c>
      <c r="B109" s="54">
        <f t="shared" si="16"/>
        <v>106</v>
      </c>
      <c r="C109" s="53" t="s">
        <v>19</v>
      </c>
      <c r="D109" s="53" t="s">
        <v>21</v>
      </c>
      <c r="E109" s="59">
        <f>VLOOKUP('Menu and cost - USA by city'!D109,'Menu and cost - Russia'!$D$4:$P$29,2,FALSE)*(VLOOKUP('Menu and cost - USA by city'!A109,COGS!$B$3:$I$10,8,FALSE)/3)*0.4</f>
        <v>3.8000000000000003</v>
      </c>
      <c r="F109" s="59">
        <f>SUMPRODUCT(H109:L109,'Mean order price'!$C$7:$G$7)*G109+P109*'Mean order price'!$H$7</f>
        <v>3.5692000000000004</v>
      </c>
      <c r="G109" s="53">
        <v>0.2</v>
      </c>
      <c r="H109" s="60">
        <v>0</v>
      </c>
      <c r="I109" s="60">
        <v>0.2</v>
      </c>
      <c r="J109" s="60">
        <v>0.7</v>
      </c>
      <c r="K109" s="60">
        <v>0</v>
      </c>
      <c r="L109" s="60">
        <v>0.1</v>
      </c>
      <c r="M109" s="60">
        <f t="shared" ref="M109:M134" si="20">SUM(H109:L109)</f>
        <v>0.99999999999999989</v>
      </c>
      <c r="N109" s="61">
        <v>20</v>
      </c>
      <c r="O109" s="62">
        <f t="shared" ref="O109:O134" si="21">60/N109</f>
        <v>3</v>
      </c>
      <c r="P109" s="62">
        <f t="shared" ref="P109:P134" si="22">O109/60</f>
        <v>0.05</v>
      </c>
      <c r="Q109" s="65">
        <f t="shared" si="14"/>
        <v>0.23079999999999989</v>
      </c>
      <c r="R109" s="66">
        <f>Таблица1[[#This Row],[Profit]]/Таблица1[[#This Row],[Price]]</f>
        <v>6.0736842105263124E-2</v>
      </c>
      <c r="S109" s="60">
        <f>VLOOKUP($A109,'Order Composition'!$B$2:$F$10,MATCH($C109,'Order Composition'!$B$2:$F$2,0),0)</f>
        <v>0.5</v>
      </c>
      <c r="T109" s="65">
        <f t="shared" si="15"/>
        <v>0.11539999999999995</v>
      </c>
      <c r="U109" s="65">
        <f>Таблица1[[#This Row],[Price]]*Таблица1[[#This Row],[Order]]</f>
        <v>1.9000000000000001</v>
      </c>
      <c r="V109" s="65">
        <f>Таблица1[[#This Row],[Cost(with labour)]]*Таблица1[[#This Row],[Order]]</f>
        <v>1.7846000000000002</v>
      </c>
      <c r="W109" s="67">
        <f>VLOOKUP($A109,'Mean order price'!$B$2:$H$10,7,0)</f>
        <v>9.5</v>
      </c>
      <c r="X109" s="68">
        <f t="shared" si="13"/>
        <v>0.47500000000000003</v>
      </c>
    </row>
    <row r="110" spans="1:24">
      <c r="A110" s="53" t="s">
        <v>53</v>
      </c>
      <c r="B110" s="54">
        <f t="shared" si="16"/>
        <v>107</v>
      </c>
      <c r="C110" s="53" t="s">
        <v>19</v>
      </c>
      <c r="D110" s="53" t="s">
        <v>22</v>
      </c>
      <c r="E110" s="59">
        <f>VLOOKUP('Menu and cost - USA by city'!D110,'Menu and cost - Russia'!$D$4:$P$29,2,FALSE)*(VLOOKUP('Menu and cost - USA by city'!A110,COGS!$B$3:$I$10,8,FALSE)/3)*0.4</f>
        <v>3.8000000000000003</v>
      </c>
      <c r="F110" s="59">
        <f>SUMPRODUCT(H110:L110,'Mean order price'!$C$7:$G$7)*G110+P110*'Mean order price'!$H$7</f>
        <v>3.8254000000000006</v>
      </c>
      <c r="G110" s="53">
        <v>0.2</v>
      </c>
      <c r="H110" s="60">
        <v>0</v>
      </c>
      <c r="I110" s="60">
        <v>0.5</v>
      </c>
      <c r="J110" s="60">
        <v>0.4</v>
      </c>
      <c r="K110" s="60">
        <v>0</v>
      </c>
      <c r="L110" s="60">
        <v>0.1</v>
      </c>
      <c r="M110" s="60">
        <f t="shared" si="20"/>
        <v>1</v>
      </c>
      <c r="N110" s="61">
        <v>20</v>
      </c>
      <c r="O110" s="62">
        <f t="shared" si="21"/>
        <v>3</v>
      </c>
      <c r="P110" s="62">
        <f t="shared" si="22"/>
        <v>0.05</v>
      </c>
      <c r="Q110" s="65">
        <f t="shared" si="14"/>
        <v>-2.5400000000000311E-2</v>
      </c>
      <c r="R110" s="66">
        <f>Таблица1[[#This Row],[Profit]]/Таблица1[[#This Row],[Price]]</f>
        <v>-6.6842105263158706E-3</v>
      </c>
      <c r="S110" s="60">
        <f>VLOOKUP($A110,'Order Composition'!$B$2:$F$10,MATCH($C110,'Order Composition'!$B$2:$F$2,0),0)</f>
        <v>0.5</v>
      </c>
      <c r="T110" s="65">
        <f t="shared" si="15"/>
        <v>-1.2700000000000156E-2</v>
      </c>
      <c r="U110" s="65">
        <f>Таблица1[[#This Row],[Price]]*Таблица1[[#This Row],[Order]]</f>
        <v>1.9000000000000001</v>
      </c>
      <c r="V110" s="65">
        <f>Таблица1[[#This Row],[Cost(with labour)]]*Таблица1[[#This Row],[Order]]</f>
        <v>1.9127000000000003</v>
      </c>
      <c r="W110" s="67">
        <f>VLOOKUP($A110,'Mean order price'!$B$2:$H$10,7,0)</f>
        <v>9.5</v>
      </c>
      <c r="X110" s="68">
        <f t="shared" si="13"/>
        <v>0.47500000000000003</v>
      </c>
    </row>
    <row r="111" spans="1:24">
      <c r="A111" s="53" t="s">
        <v>53</v>
      </c>
      <c r="B111" s="54">
        <f t="shared" si="16"/>
        <v>108</v>
      </c>
      <c r="C111" s="53" t="s">
        <v>19</v>
      </c>
      <c r="D111" s="53" t="s">
        <v>23</v>
      </c>
      <c r="E111" s="59">
        <f>VLOOKUP('Menu and cost - USA by city'!D111,'Menu and cost - Russia'!$D$4:$P$29,2,FALSE)*(VLOOKUP('Menu and cost - USA by city'!A111,COGS!$B$3:$I$10,8,FALSE)/3)*0.4</f>
        <v>2.5333333333333332</v>
      </c>
      <c r="F111" s="59">
        <f>SUMPRODUCT(H111:L111,'Mean order price'!$C$7:$G$7)*G111+P111*'Mean order price'!$H$7</f>
        <v>2.5723333333333334</v>
      </c>
      <c r="G111" s="53">
        <v>0.2</v>
      </c>
      <c r="H111" s="60">
        <v>0.1</v>
      </c>
      <c r="I111" s="60">
        <v>0</v>
      </c>
      <c r="J111" s="60">
        <v>0.4</v>
      </c>
      <c r="K111" s="60">
        <v>0.1</v>
      </c>
      <c r="L111" s="60">
        <v>0.4</v>
      </c>
      <c r="M111" s="60">
        <f t="shared" si="20"/>
        <v>1</v>
      </c>
      <c r="N111" s="61">
        <v>60</v>
      </c>
      <c r="O111" s="62">
        <f t="shared" si="21"/>
        <v>1</v>
      </c>
      <c r="P111" s="62">
        <f t="shared" si="22"/>
        <v>1.6666666666666666E-2</v>
      </c>
      <c r="Q111" s="65">
        <f t="shared" si="14"/>
        <v>-3.9000000000000146E-2</v>
      </c>
      <c r="R111" s="66">
        <f>Таблица1[[#This Row],[Profit]]/Таблица1[[#This Row],[Price]]</f>
        <v>-1.5394736842105322E-2</v>
      </c>
      <c r="S111" s="60">
        <f>VLOOKUP($A111,'Order Composition'!$B$2:$F$10,MATCH($C111,'Order Composition'!$B$2:$F$2,0),0)</f>
        <v>0.5</v>
      </c>
      <c r="T111" s="65">
        <f t="shared" si="15"/>
        <v>-1.9500000000000073E-2</v>
      </c>
      <c r="U111" s="65">
        <f>Таблица1[[#This Row],[Price]]*Таблица1[[#This Row],[Order]]</f>
        <v>1.2666666666666666</v>
      </c>
      <c r="V111" s="65">
        <f>Таблица1[[#This Row],[Cost(with labour)]]*Таблица1[[#This Row],[Order]]</f>
        <v>1.2861666666666667</v>
      </c>
      <c r="W111" s="67">
        <f>VLOOKUP($A111,'Mean order price'!$B$2:$H$10,7,0)</f>
        <v>9.5</v>
      </c>
      <c r="X111" s="68">
        <f t="shared" si="13"/>
        <v>0.15833333333333333</v>
      </c>
    </row>
    <row r="112" spans="1:24">
      <c r="A112" s="53" t="s">
        <v>53</v>
      </c>
      <c r="B112" s="54">
        <f t="shared" si="16"/>
        <v>109</v>
      </c>
      <c r="C112" s="53" t="s">
        <v>19</v>
      </c>
      <c r="D112" s="53" t="s">
        <v>24</v>
      </c>
      <c r="E112" s="59">
        <f>VLOOKUP('Menu and cost - USA by city'!D112,'Menu and cost - Russia'!$D$4:$P$29,2,FALSE)*(VLOOKUP('Menu and cost - USA by city'!A112,COGS!$B$3:$I$10,8,FALSE)/3)*0.4</f>
        <v>2.5333333333333332</v>
      </c>
      <c r="F112" s="59">
        <f>SUMPRODUCT(H112:L112,'Mean order price'!$C$7:$G$7)*G112+P112*'Mean order price'!$H$7</f>
        <v>2.8677333333333337</v>
      </c>
      <c r="G112" s="53">
        <v>0.2</v>
      </c>
      <c r="H112" s="60">
        <v>0.1</v>
      </c>
      <c r="I112" s="60">
        <v>0.2</v>
      </c>
      <c r="J112" s="60">
        <v>0.3</v>
      </c>
      <c r="K112" s="60">
        <v>0.1</v>
      </c>
      <c r="L112" s="60">
        <v>0.3</v>
      </c>
      <c r="M112" s="60">
        <f t="shared" si="20"/>
        <v>1</v>
      </c>
      <c r="N112" s="61">
        <v>60</v>
      </c>
      <c r="O112" s="62">
        <f t="shared" si="21"/>
        <v>1</v>
      </c>
      <c r="P112" s="62">
        <f t="shared" si="22"/>
        <v>1.6666666666666666E-2</v>
      </c>
      <c r="Q112" s="65">
        <f t="shared" si="14"/>
        <v>-0.33440000000000047</v>
      </c>
      <c r="R112" s="66">
        <f>Таблица1[[#This Row],[Profit]]/Таблица1[[#This Row],[Price]]</f>
        <v>-0.1320000000000002</v>
      </c>
      <c r="S112" s="60">
        <f>VLOOKUP($A112,'Order Composition'!$B$2:$F$10,MATCH($C112,'Order Composition'!$B$2:$F$2,0),0)</f>
        <v>0.5</v>
      </c>
      <c r="T112" s="65">
        <f t="shared" si="15"/>
        <v>-0.16720000000000024</v>
      </c>
      <c r="U112" s="65">
        <f>Таблица1[[#This Row],[Price]]*Таблица1[[#This Row],[Order]]</f>
        <v>1.2666666666666666</v>
      </c>
      <c r="V112" s="65">
        <f>Таблица1[[#This Row],[Cost(with labour)]]*Таблица1[[#This Row],[Order]]</f>
        <v>1.4338666666666668</v>
      </c>
      <c r="W112" s="67">
        <f>VLOOKUP($A112,'Mean order price'!$B$2:$H$10,7,0)</f>
        <v>9.5</v>
      </c>
      <c r="X112" s="68">
        <f t="shared" si="13"/>
        <v>0.15833333333333333</v>
      </c>
    </row>
    <row r="113" spans="1:24">
      <c r="A113" s="53" t="s">
        <v>53</v>
      </c>
      <c r="B113" s="54">
        <f t="shared" si="16"/>
        <v>110</v>
      </c>
      <c r="C113" s="53" t="s">
        <v>19</v>
      </c>
      <c r="D113" s="53" t="s">
        <v>25</v>
      </c>
      <c r="E113" s="59">
        <f>VLOOKUP('Menu and cost - USA by city'!D113,'Menu and cost - Russia'!$D$4:$P$29,2,FALSE)*(VLOOKUP('Menu and cost - USA by city'!A113,COGS!$B$3:$I$10,8,FALSE)/3)*0.4</f>
        <v>1.2666666666666666</v>
      </c>
      <c r="F113" s="59">
        <f>SUMPRODUCT(H113:L113,'Mean order price'!$C$7:$G$7)*G113+P113*'Mean order price'!$H$7</f>
        <v>1.7392666666666667</v>
      </c>
      <c r="G113" s="53">
        <v>0.1</v>
      </c>
      <c r="H113" s="60">
        <v>0.1</v>
      </c>
      <c r="I113" s="60">
        <v>0</v>
      </c>
      <c r="J113" s="60">
        <v>0.75</v>
      </c>
      <c r="K113" s="60">
        <v>0.05</v>
      </c>
      <c r="L113" s="60">
        <v>0.1</v>
      </c>
      <c r="M113" s="60">
        <f t="shared" si="20"/>
        <v>1</v>
      </c>
      <c r="N113" s="61">
        <v>30</v>
      </c>
      <c r="O113" s="62">
        <f t="shared" si="21"/>
        <v>2</v>
      </c>
      <c r="P113" s="62">
        <f t="shared" si="22"/>
        <v>3.3333333333333333E-2</v>
      </c>
      <c r="Q113" s="65">
        <f t="shared" si="14"/>
        <v>-0.47260000000000013</v>
      </c>
      <c r="R113" s="66">
        <f>Таблица1[[#This Row],[Profit]]/Таблица1[[#This Row],[Price]]</f>
        <v>-0.37310526315789488</v>
      </c>
      <c r="S113" s="60">
        <f>VLOOKUP($A113,'Order Composition'!$B$2:$F$10,MATCH($C113,'Order Composition'!$B$2:$F$2,0),0)</f>
        <v>0.5</v>
      </c>
      <c r="T113" s="65">
        <f t="shared" si="15"/>
        <v>-0.23630000000000007</v>
      </c>
      <c r="U113" s="65">
        <f>Таблица1[[#This Row],[Price]]*Таблица1[[#This Row],[Order]]</f>
        <v>0.6333333333333333</v>
      </c>
      <c r="V113" s="65">
        <f>Таблица1[[#This Row],[Cost(with labour)]]*Таблица1[[#This Row],[Order]]</f>
        <v>0.86963333333333337</v>
      </c>
      <c r="W113" s="67">
        <f>VLOOKUP($A113,'Mean order price'!$B$2:$H$10,7,0)</f>
        <v>9.5</v>
      </c>
      <c r="X113" s="68">
        <f t="shared" si="13"/>
        <v>0.31666666666666665</v>
      </c>
    </row>
    <row r="114" spans="1:24">
      <c r="A114" s="53" t="s">
        <v>53</v>
      </c>
      <c r="B114" s="54">
        <f t="shared" si="16"/>
        <v>111</v>
      </c>
      <c r="C114" s="53" t="s">
        <v>19</v>
      </c>
      <c r="D114" s="53" t="s">
        <v>26</v>
      </c>
      <c r="E114" s="59">
        <f>VLOOKUP('Menu and cost - USA by city'!D114,'Menu and cost - Russia'!$D$4:$P$29,2,FALSE)*(VLOOKUP('Menu and cost - USA by city'!A114,COGS!$B$3:$I$10,8,FALSE)/3)*0.4</f>
        <v>1.2666666666666666</v>
      </c>
      <c r="F114" s="59">
        <f>SUMPRODUCT(H114:L114,'Mean order price'!$C$7:$G$7)*G114+P114*'Mean order price'!$H$7</f>
        <v>1.9527666666666668</v>
      </c>
      <c r="G114" s="53">
        <v>0.1</v>
      </c>
      <c r="H114" s="60">
        <v>0.1</v>
      </c>
      <c r="I114" s="60">
        <v>0.5</v>
      </c>
      <c r="J114" s="60">
        <v>0.25</v>
      </c>
      <c r="K114" s="60">
        <v>0.05</v>
      </c>
      <c r="L114" s="60">
        <v>0.1</v>
      </c>
      <c r="M114" s="60">
        <f t="shared" si="20"/>
        <v>1</v>
      </c>
      <c r="N114" s="61">
        <v>30</v>
      </c>
      <c r="O114" s="62">
        <f t="shared" si="21"/>
        <v>2</v>
      </c>
      <c r="P114" s="62">
        <f t="shared" si="22"/>
        <v>3.3333333333333333E-2</v>
      </c>
      <c r="Q114" s="65">
        <f t="shared" si="14"/>
        <v>-0.68610000000000015</v>
      </c>
      <c r="R114" s="66">
        <f>Таблица1[[#This Row],[Profit]]/Таблица1[[#This Row],[Price]]</f>
        <v>-0.54165789473684223</v>
      </c>
      <c r="S114" s="60">
        <f>VLOOKUP($A114,'Order Composition'!$B$2:$F$10,MATCH($C114,'Order Composition'!$B$2:$F$2,0),0)</f>
        <v>0.5</v>
      </c>
      <c r="T114" s="65">
        <f t="shared" si="15"/>
        <v>-0.34305000000000008</v>
      </c>
      <c r="U114" s="65">
        <f>Таблица1[[#This Row],[Price]]*Таблица1[[#This Row],[Order]]</f>
        <v>0.6333333333333333</v>
      </c>
      <c r="V114" s="65">
        <f>Таблица1[[#This Row],[Cost(with labour)]]*Таблица1[[#This Row],[Order]]</f>
        <v>0.97638333333333338</v>
      </c>
      <c r="W114" s="67">
        <f>VLOOKUP($A114,'Mean order price'!$B$2:$H$10,7,0)</f>
        <v>9.5</v>
      </c>
      <c r="X114" s="68">
        <f t="shared" si="13"/>
        <v>0.31666666666666665</v>
      </c>
    </row>
    <row r="115" spans="1:24">
      <c r="A115" s="53" t="s">
        <v>53</v>
      </c>
      <c r="B115" s="54">
        <f t="shared" si="16"/>
        <v>112</v>
      </c>
      <c r="C115" s="53" t="s">
        <v>27</v>
      </c>
      <c r="D115" s="53" t="s">
        <v>28</v>
      </c>
      <c r="E115" s="59">
        <f>VLOOKUP('Menu and cost - USA by city'!D115,'Menu and cost - Russia'!$D$4:$P$29,2,FALSE)*(VLOOKUP('Menu and cost - USA by city'!A115,COGS!$B$3:$I$10,8,FALSE)/3)*0.4</f>
        <v>3.8000000000000003</v>
      </c>
      <c r="F115" s="59">
        <f>SUMPRODUCT(H115:L115,'Mean order price'!$C$7:$G$7)*G115+P115*'Mean order price'!$H$7</f>
        <v>3.4785333333333335</v>
      </c>
      <c r="G115" s="53">
        <v>0.2</v>
      </c>
      <c r="H115" s="60">
        <v>0.1</v>
      </c>
      <c r="I115" s="60">
        <v>0</v>
      </c>
      <c r="J115" s="60">
        <v>0.75</v>
      </c>
      <c r="K115" s="60">
        <v>0.05</v>
      </c>
      <c r="L115" s="60">
        <v>0.1</v>
      </c>
      <c r="M115" s="60">
        <f t="shared" si="20"/>
        <v>1</v>
      </c>
      <c r="N115" s="61">
        <v>15</v>
      </c>
      <c r="O115" s="62">
        <f t="shared" si="21"/>
        <v>4</v>
      </c>
      <c r="P115" s="62">
        <f t="shared" si="22"/>
        <v>6.6666666666666666E-2</v>
      </c>
      <c r="Q115" s="65">
        <f t="shared" si="14"/>
        <v>0.32146666666666679</v>
      </c>
      <c r="R115" s="66">
        <f>Таблица1[[#This Row],[Profit]]/Таблица1[[#This Row],[Price]]</f>
        <v>8.4596491228070197E-2</v>
      </c>
      <c r="S115" s="60">
        <f>VLOOKUP($A115,'Order Composition'!$B$2:$F$10,MATCH($C115,'Order Composition'!$B$2:$F$2,0),0)</f>
        <v>0.85</v>
      </c>
      <c r="T115" s="65">
        <f t="shared" si="15"/>
        <v>0.27324666666666675</v>
      </c>
      <c r="U115" s="65">
        <f>Таблица1[[#This Row],[Price]]*Таблица1[[#This Row],[Order]]</f>
        <v>3.23</v>
      </c>
      <c r="V115" s="65">
        <f>Таблица1[[#This Row],[Cost(with labour)]]*Таблица1[[#This Row],[Order]]</f>
        <v>2.9567533333333333</v>
      </c>
      <c r="W115" s="67">
        <f>VLOOKUP($A115,'Mean order price'!$B$2:$H$10,7,0)</f>
        <v>9.5</v>
      </c>
      <c r="X115" s="68">
        <f t="shared" si="13"/>
        <v>0.6333333333333333</v>
      </c>
    </row>
    <row r="116" spans="1:24">
      <c r="A116" s="53" t="s">
        <v>53</v>
      </c>
      <c r="B116" s="54">
        <f t="shared" si="16"/>
        <v>113</v>
      </c>
      <c r="C116" s="53" t="s">
        <v>27</v>
      </c>
      <c r="D116" s="53" t="s">
        <v>29</v>
      </c>
      <c r="E116" s="59">
        <f>VLOOKUP('Menu and cost - USA by city'!D116,'Menu and cost - Russia'!$D$4:$P$29,2,FALSE)*(VLOOKUP('Menu and cost - USA by city'!A116,COGS!$B$3:$I$10,8,FALSE)/3)*0.4</f>
        <v>3.8000000000000003</v>
      </c>
      <c r="F116" s="59">
        <f>SUMPRODUCT(H116:L116,'Mean order price'!$C$7:$G$7)*G116+P116*'Mean order price'!$H$7</f>
        <v>4.8387333333333338</v>
      </c>
      <c r="G116" s="53">
        <v>0.3</v>
      </c>
      <c r="H116" s="60">
        <v>0.3</v>
      </c>
      <c r="I116" s="60">
        <v>0</v>
      </c>
      <c r="J116" s="60">
        <v>0.55000000000000004</v>
      </c>
      <c r="K116" s="60">
        <v>0.05</v>
      </c>
      <c r="L116" s="60">
        <v>0.1</v>
      </c>
      <c r="M116" s="60">
        <f t="shared" si="20"/>
        <v>1.0000000000000002</v>
      </c>
      <c r="N116" s="61">
        <v>15</v>
      </c>
      <c r="O116" s="62">
        <f t="shared" si="21"/>
        <v>4</v>
      </c>
      <c r="P116" s="62">
        <f t="shared" si="22"/>
        <v>6.6666666666666666E-2</v>
      </c>
      <c r="Q116" s="65">
        <f t="shared" si="14"/>
        <v>-1.0387333333333335</v>
      </c>
      <c r="R116" s="66">
        <f>Таблица1[[#This Row],[Profit]]/Таблица1[[#This Row],[Price]]</f>
        <v>-0.27335087719298246</v>
      </c>
      <c r="S116" s="60">
        <f>VLOOKUP($A116,'Order Composition'!$B$2:$F$10,MATCH($C116,'Order Composition'!$B$2:$F$2,0),0)</f>
        <v>0.85</v>
      </c>
      <c r="T116" s="65">
        <f t="shared" si="15"/>
        <v>-0.8829233333333335</v>
      </c>
      <c r="U116" s="65">
        <f>Таблица1[[#This Row],[Price]]*Таблица1[[#This Row],[Order]]</f>
        <v>3.23</v>
      </c>
      <c r="V116" s="65">
        <f>Таблица1[[#This Row],[Cost(with labour)]]*Таблица1[[#This Row],[Order]]</f>
        <v>4.1129233333333337</v>
      </c>
      <c r="W116" s="67">
        <f>VLOOKUP($A116,'Mean order price'!$B$2:$H$10,7,0)</f>
        <v>9.5</v>
      </c>
      <c r="X116" s="68">
        <f t="shared" si="13"/>
        <v>0.6333333333333333</v>
      </c>
    </row>
    <row r="117" spans="1:24">
      <c r="A117" s="53" t="s">
        <v>53</v>
      </c>
      <c r="B117" s="54">
        <f t="shared" si="16"/>
        <v>114</v>
      </c>
      <c r="C117" s="53" t="s">
        <v>27</v>
      </c>
      <c r="D117" s="53" t="s">
        <v>30</v>
      </c>
      <c r="E117" s="59">
        <f>VLOOKUP('Menu and cost - USA by city'!D117,'Menu and cost - Russia'!$D$4:$P$29,2,FALSE)*(VLOOKUP('Menu and cost - USA by city'!A117,COGS!$B$3:$I$10,8,FALSE)/3)*0.4</f>
        <v>3.8000000000000003</v>
      </c>
      <c r="F117" s="59">
        <f>SUMPRODUCT(H117:L117,'Mean order price'!$C$7:$G$7)*G117+P117*'Mean order price'!$H$7</f>
        <v>5.2213833333333337</v>
      </c>
      <c r="G117" s="53">
        <v>0.3</v>
      </c>
      <c r="H117" s="60">
        <v>0.1</v>
      </c>
      <c r="I117" s="60">
        <v>0.25</v>
      </c>
      <c r="J117" s="60">
        <v>0.5</v>
      </c>
      <c r="K117" s="60">
        <v>0.05</v>
      </c>
      <c r="L117" s="60">
        <v>0.1</v>
      </c>
      <c r="M117" s="60">
        <f t="shared" si="20"/>
        <v>1</v>
      </c>
      <c r="N117" s="61">
        <v>15</v>
      </c>
      <c r="O117" s="62">
        <f t="shared" si="21"/>
        <v>4</v>
      </c>
      <c r="P117" s="62">
        <f t="shared" si="22"/>
        <v>6.6666666666666666E-2</v>
      </c>
      <c r="Q117" s="65">
        <f t="shared" si="14"/>
        <v>-1.4213833333333334</v>
      </c>
      <c r="R117" s="66">
        <f>Таблица1[[#This Row],[Profit]]/Таблица1[[#This Row],[Price]]</f>
        <v>-0.3740482456140351</v>
      </c>
      <c r="S117" s="60">
        <f>VLOOKUP($A117,'Order Composition'!$B$2:$F$10,MATCH($C117,'Order Composition'!$B$2:$F$2,0),0)</f>
        <v>0.85</v>
      </c>
      <c r="T117" s="65">
        <f t="shared" si="15"/>
        <v>-1.2081758333333334</v>
      </c>
      <c r="U117" s="65">
        <f>Таблица1[[#This Row],[Price]]*Таблица1[[#This Row],[Order]]</f>
        <v>3.23</v>
      </c>
      <c r="V117" s="65">
        <f>Таблица1[[#This Row],[Cost(with labour)]]*Таблица1[[#This Row],[Order]]</f>
        <v>4.4381758333333332</v>
      </c>
      <c r="W117" s="67">
        <f>VLOOKUP($A117,'Mean order price'!$B$2:$H$10,7,0)</f>
        <v>9.5</v>
      </c>
      <c r="X117" s="68">
        <f t="shared" si="13"/>
        <v>0.6333333333333333</v>
      </c>
    </row>
    <row r="118" spans="1:24">
      <c r="A118" s="53" t="s">
        <v>53</v>
      </c>
      <c r="B118" s="54">
        <f t="shared" si="16"/>
        <v>115</v>
      </c>
      <c r="C118" s="53" t="s">
        <v>27</v>
      </c>
      <c r="D118" s="53" t="s">
        <v>31</v>
      </c>
      <c r="E118" s="59">
        <f>VLOOKUP('Menu and cost - USA by city'!D118,'Menu and cost - Russia'!$D$4:$P$29,2,FALSE)*(VLOOKUP('Menu and cost - USA by city'!A118,COGS!$B$3:$I$10,8,FALSE)/3)*0.4</f>
        <v>3.8000000000000003</v>
      </c>
      <c r="F118" s="59">
        <f>SUMPRODUCT(H118:L118,'Mean order price'!$C$7:$G$7)*G118+P118*'Mean order price'!$H$7</f>
        <v>4.1160000000000005</v>
      </c>
      <c r="G118" s="53">
        <v>0.2</v>
      </c>
      <c r="H118" s="60">
        <v>0.2</v>
      </c>
      <c r="I118" s="60">
        <v>0.4</v>
      </c>
      <c r="J118" s="60">
        <v>0.25</v>
      </c>
      <c r="K118" s="60">
        <v>0.05</v>
      </c>
      <c r="L118" s="60">
        <v>0.1</v>
      </c>
      <c r="M118" s="60">
        <f t="shared" si="20"/>
        <v>1.0000000000000002</v>
      </c>
      <c r="N118" s="61">
        <v>10</v>
      </c>
      <c r="O118" s="62">
        <f t="shared" si="21"/>
        <v>6</v>
      </c>
      <c r="P118" s="62">
        <f t="shared" si="22"/>
        <v>0.1</v>
      </c>
      <c r="Q118" s="65">
        <f t="shared" si="14"/>
        <v>-0.31600000000000028</v>
      </c>
      <c r="R118" s="66">
        <f>Таблица1[[#This Row],[Profit]]/Таблица1[[#This Row],[Price]]</f>
        <v>-8.3157894736842167E-2</v>
      </c>
      <c r="S118" s="60">
        <f>VLOOKUP($A118,'Order Composition'!$B$2:$F$10,MATCH($C118,'Order Composition'!$B$2:$F$2,0),0)</f>
        <v>0.85</v>
      </c>
      <c r="T118" s="65">
        <f t="shared" si="15"/>
        <v>-0.26860000000000023</v>
      </c>
      <c r="U118" s="65">
        <f>Таблица1[[#This Row],[Price]]*Таблица1[[#This Row],[Order]]</f>
        <v>3.23</v>
      </c>
      <c r="V118" s="65">
        <f>Таблица1[[#This Row],[Cost(with labour)]]*Таблица1[[#This Row],[Order]]</f>
        <v>3.4986000000000002</v>
      </c>
      <c r="W118" s="67">
        <f>VLOOKUP($A118,'Mean order price'!$B$2:$H$10,7,0)</f>
        <v>9.5</v>
      </c>
      <c r="X118" s="68">
        <f t="shared" si="13"/>
        <v>0.95000000000000007</v>
      </c>
    </row>
    <row r="119" spans="1:24">
      <c r="A119" s="53" t="s">
        <v>53</v>
      </c>
      <c r="B119" s="54">
        <f t="shared" si="16"/>
        <v>116</v>
      </c>
      <c r="C119" s="53" t="s">
        <v>27</v>
      </c>
      <c r="D119" s="53" t="s">
        <v>32</v>
      </c>
      <c r="E119" s="59">
        <f>VLOOKUP('Menu and cost - USA by city'!D119,'Menu and cost - Russia'!$D$4:$P$29,2,FALSE)*(VLOOKUP('Menu and cost - USA by city'!A119,COGS!$B$3:$I$10,8,FALSE)/3)*0.4</f>
        <v>5.0666666666666664</v>
      </c>
      <c r="F119" s="59">
        <f>SUMPRODUCT(H119:L119,'Mean order price'!$C$7:$G$7)*G119+P119*'Mean order price'!$H$7</f>
        <v>5.9552000000000005</v>
      </c>
      <c r="G119" s="53">
        <v>0.3</v>
      </c>
      <c r="H119" s="60">
        <v>0.2</v>
      </c>
      <c r="I119" s="60">
        <v>0.6</v>
      </c>
      <c r="J119" s="60">
        <v>0.05</v>
      </c>
      <c r="K119" s="60">
        <v>0.05</v>
      </c>
      <c r="L119" s="60">
        <v>0.1</v>
      </c>
      <c r="M119" s="60">
        <f t="shared" si="20"/>
        <v>1.0000000000000002</v>
      </c>
      <c r="N119" s="61">
        <v>10</v>
      </c>
      <c r="O119" s="62">
        <f t="shared" si="21"/>
        <v>6</v>
      </c>
      <c r="P119" s="62">
        <f t="shared" si="22"/>
        <v>0.1</v>
      </c>
      <c r="Q119" s="65">
        <f t="shared" si="14"/>
        <v>-0.88853333333333406</v>
      </c>
      <c r="R119" s="66">
        <f>Таблица1[[#This Row],[Profit]]/Таблица1[[#This Row],[Price]]</f>
        <v>-0.17536842105263173</v>
      </c>
      <c r="S119" s="60">
        <f>VLOOKUP($A119,'Order Composition'!$B$2:$F$10,MATCH($C119,'Order Composition'!$B$2:$F$2,0),0)</f>
        <v>0.85</v>
      </c>
      <c r="T119" s="65">
        <f t="shared" si="15"/>
        <v>-0.75525333333333389</v>
      </c>
      <c r="U119" s="65">
        <f>Таблица1[[#This Row],[Price]]*Таблица1[[#This Row],[Order]]</f>
        <v>4.3066666666666666</v>
      </c>
      <c r="V119" s="65">
        <f>Таблица1[[#This Row],[Cost(with labour)]]*Таблица1[[#This Row],[Order]]</f>
        <v>5.0619200000000006</v>
      </c>
      <c r="W119" s="67">
        <f>VLOOKUP($A119,'Mean order price'!$B$2:$H$10,7,0)</f>
        <v>9.5</v>
      </c>
      <c r="X119" s="68">
        <f t="shared" si="13"/>
        <v>0.95000000000000007</v>
      </c>
    </row>
    <row r="120" spans="1:24">
      <c r="A120" s="53" t="s">
        <v>53</v>
      </c>
      <c r="B120" s="54">
        <f t="shared" si="16"/>
        <v>117</v>
      </c>
      <c r="C120" s="53" t="s">
        <v>27</v>
      </c>
      <c r="D120" s="53" t="s">
        <v>33</v>
      </c>
      <c r="E120" s="59">
        <f>VLOOKUP('Menu and cost - USA by city'!D120,'Menu and cost - Russia'!$D$4:$P$29,2,FALSE)*(VLOOKUP('Menu and cost - USA by city'!A120,COGS!$B$3:$I$10,8,FALSE)/3)*0.4</f>
        <v>5.0666666666666664</v>
      </c>
      <c r="F120" s="59">
        <f>SUMPRODUCT(H120:L120,'Mean order price'!$C$7:$G$7)*G120+P120*'Mean order price'!$H$7</f>
        <v>5.8271000000000006</v>
      </c>
      <c r="G120" s="53">
        <v>0.3</v>
      </c>
      <c r="H120" s="60">
        <v>0.2</v>
      </c>
      <c r="I120" s="60">
        <v>0.5</v>
      </c>
      <c r="J120" s="60">
        <v>0.15</v>
      </c>
      <c r="K120" s="60">
        <v>0.05</v>
      </c>
      <c r="L120" s="60">
        <v>0.1</v>
      </c>
      <c r="M120" s="60">
        <f t="shared" si="20"/>
        <v>1</v>
      </c>
      <c r="N120" s="61">
        <v>10</v>
      </c>
      <c r="O120" s="62">
        <f t="shared" si="21"/>
        <v>6</v>
      </c>
      <c r="P120" s="62">
        <f t="shared" si="22"/>
        <v>0.1</v>
      </c>
      <c r="Q120" s="65">
        <f t="shared" si="14"/>
        <v>-0.76043333333333418</v>
      </c>
      <c r="R120" s="66">
        <f>Таблица1[[#This Row],[Profit]]/Таблица1[[#This Row],[Price]]</f>
        <v>-0.15008552631578964</v>
      </c>
      <c r="S120" s="60">
        <f>VLOOKUP($A120,'Order Composition'!$B$2:$F$10,MATCH($C120,'Order Composition'!$B$2:$F$2,0),0)</f>
        <v>0.85</v>
      </c>
      <c r="T120" s="65">
        <f t="shared" si="15"/>
        <v>-0.64636833333333399</v>
      </c>
      <c r="U120" s="65">
        <f>Таблица1[[#This Row],[Price]]*Таблица1[[#This Row],[Order]]</f>
        <v>4.3066666666666666</v>
      </c>
      <c r="V120" s="65">
        <f>Таблица1[[#This Row],[Cost(with labour)]]*Таблица1[[#This Row],[Order]]</f>
        <v>4.9530350000000007</v>
      </c>
      <c r="W120" s="67">
        <f>VLOOKUP($A120,'Mean order price'!$B$2:$H$10,7,0)</f>
        <v>9.5</v>
      </c>
      <c r="X120" s="68">
        <f t="shared" si="13"/>
        <v>0.95000000000000007</v>
      </c>
    </row>
    <row r="121" spans="1:24">
      <c r="A121" s="53" t="s">
        <v>53</v>
      </c>
      <c r="B121" s="54">
        <f t="shared" si="16"/>
        <v>118</v>
      </c>
      <c r="C121" s="53" t="s">
        <v>27</v>
      </c>
      <c r="D121" s="53" t="s">
        <v>34</v>
      </c>
      <c r="E121" s="59">
        <f>VLOOKUP('Menu and cost - USA by city'!D121,'Menu and cost - Russia'!$D$4:$P$29,2,FALSE)*(VLOOKUP('Menu and cost - USA by city'!A121,COGS!$B$3:$I$10,8,FALSE)/3)*0.4</f>
        <v>3.8000000000000003</v>
      </c>
      <c r="F121" s="59">
        <f>SUMPRODUCT(H121:L121,'Mean order price'!$C$7:$G$7)*G121+P121*'Mean order price'!$H$7</f>
        <v>3.4785333333333335</v>
      </c>
      <c r="G121" s="53">
        <v>0.2</v>
      </c>
      <c r="H121" s="60">
        <v>0.1</v>
      </c>
      <c r="I121" s="60">
        <v>0</v>
      </c>
      <c r="J121" s="60">
        <v>0.75</v>
      </c>
      <c r="K121" s="60">
        <v>0.05</v>
      </c>
      <c r="L121" s="60">
        <v>0.1</v>
      </c>
      <c r="M121" s="60">
        <f t="shared" si="20"/>
        <v>1</v>
      </c>
      <c r="N121" s="61">
        <v>15</v>
      </c>
      <c r="O121" s="62">
        <f t="shared" si="21"/>
        <v>4</v>
      </c>
      <c r="P121" s="62">
        <f t="shared" si="22"/>
        <v>6.6666666666666666E-2</v>
      </c>
      <c r="Q121" s="65">
        <f t="shared" si="14"/>
        <v>0.32146666666666679</v>
      </c>
      <c r="R121" s="66">
        <f>Таблица1[[#This Row],[Profit]]/Таблица1[[#This Row],[Price]]</f>
        <v>8.4596491228070197E-2</v>
      </c>
      <c r="S121" s="60">
        <f>VLOOKUP($A121,'Order Composition'!$B$2:$F$10,MATCH($C121,'Order Composition'!$B$2:$F$2,0),0)</f>
        <v>0.85</v>
      </c>
      <c r="T121" s="65">
        <f t="shared" si="15"/>
        <v>0.27324666666666675</v>
      </c>
      <c r="U121" s="65">
        <f>Таблица1[[#This Row],[Price]]*Таблица1[[#This Row],[Order]]</f>
        <v>3.23</v>
      </c>
      <c r="V121" s="65">
        <f>Таблица1[[#This Row],[Cost(with labour)]]*Таблица1[[#This Row],[Order]]</f>
        <v>2.9567533333333333</v>
      </c>
      <c r="W121" s="67">
        <f>VLOOKUP($A121,'Mean order price'!$B$2:$H$10,7,0)</f>
        <v>9.5</v>
      </c>
      <c r="X121" s="68">
        <f t="shared" si="13"/>
        <v>0.6333333333333333</v>
      </c>
    </row>
    <row r="122" spans="1:24">
      <c r="A122" s="53" t="s">
        <v>53</v>
      </c>
      <c r="B122" s="54">
        <f t="shared" si="16"/>
        <v>119</v>
      </c>
      <c r="C122" s="53" t="s">
        <v>27</v>
      </c>
      <c r="D122" s="53" t="s">
        <v>35</v>
      </c>
      <c r="E122" s="59">
        <f>VLOOKUP('Menu and cost - USA by city'!D122,'Menu and cost - Russia'!$D$4:$P$29,2,FALSE)*(VLOOKUP('Menu and cost - USA by city'!A122,COGS!$B$3:$I$10,8,FALSE)/3)*0.4</f>
        <v>3.8000000000000003</v>
      </c>
      <c r="F122" s="59">
        <f>SUMPRODUCT(H122:L122,'Mean order price'!$C$7:$G$7)*G122+P122*'Mean order price'!$H$7</f>
        <v>3.4577333333333335</v>
      </c>
      <c r="G122" s="53">
        <v>0.2</v>
      </c>
      <c r="H122" s="60">
        <v>0.2</v>
      </c>
      <c r="I122" s="60">
        <v>0</v>
      </c>
      <c r="J122" s="60">
        <v>0.65</v>
      </c>
      <c r="K122" s="60">
        <v>0.05</v>
      </c>
      <c r="L122" s="60">
        <v>0.1</v>
      </c>
      <c r="M122" s="60">
        <f t="shared" si="20"/>
        <v>1.0000000000000002</v>
      </c>
      <c r="N122" s="61">
        <v>15</v>
      </c>
      <c r="O122" s="62">
        <f t="shared" si="21"/>
        <v>4</v>
      </c>
      <c r="P122" s="62">
        <f t="shared" si="22"/>
        <v>6.6666666666666666E-2</v>
      </c>
      <c r="Q122" s="65">
        <f t="shared" si="14"/>
        <v>0.34226666666666672</v>
      </c>
      <c r="R122" s="66">
        <f>Таблица1[[#This Row],[Profit]]/Таблица1[[#This Row],[Price]]</f>
        <v>9.0070175438596495E-2</v>
      </c>
      <c r="S122" s="60">
        <f>VLOOKUP($A122,'Order Composition'!$B$2:$F$10,MATCH($C122,'Order Composition'!$B$2:$F$2,0),0)</f>
        <v>0.85</v>
      </c>
      <c r="T122" s="65">
        <f t="shared" si="15"/>
        <v>0.29092666666666672</v>
      </c>
      <c r="U122" s="65">
        <f>Таблица1[[#This Row],[Price]]*Таблица1[[#This Row],[Order]]</f>
        <v>3.23</v>
      </c>
      <c r="V122" s="65">
        <f>Таблица1[[#This Row],[Cost(with labour)]]*Таблица1[[#This Row],[Order]]</f>
        <v>2.9390733333333334</v>
      </c>
      <c r="W122" s="67">
        <f>VLOOKUP($A122,'Mean order price'!$B$2:$H$10,7,0)</f>
        <v>9.5</v>
      </c>
      <c r="X122" s="68">
        <f t="shared" si="13"/>
        <v>0.6333333333333333</v>
      </c>
    </row>
    <row r="123" spans="1:24">
      <c r="A123" s="53" t="s">
        <v>53</v>
      </c>
      <c r="B123" s="54">
        <f t="shared" si="16"/>
        <v>120</v>
      </c>
      <c r="C123" s="53" t="s">
        <v>27</v>
      </c>
      <c r="D123" s="53" t="s">
        <v>36</v>
      </c>
      <c r="E123" s="59">
        <f>VLOOKUP('Menu and cost - USA by city'!D123,'Menu and cost - Russia'!$D$4:$P$29,2,FALSE)*(VLOOKUP('Menu and cost - USA by city'!A123,COGS!$B$3:$I$10,8,FALSE)/3)*0.4</f>
        <v>6.333333333333333</v>
      </c>
      <c r="F123" s="59">
        <f>SUMPRODUCT(H123:L123,'Mean order price'!$C$7:$G$7)*G123+P123*'Mean order price'!$H$7</f>
        <v>5.6017999999999999</v>
      </c>
      <c r="G123" s="53">
        <v>0.3</v>
      </c>
      <c r="H123" s="60">
        <v>0</v>
      </c>
      <c r="I123" s="60">
        <v>0.5</v>
      </c>
      <c r="J123" s="60">
        <v>0.2</v>
      </c>
      <c r="K123" s="60">
        <v>0</v>
      </c>
      <c r="L123" s="60">
        <v>0.3</v>
      </c>
      <c r="M123" s="60">
        <f t="shared" si="20"/>
        <v>1</v>
      </c>
      <c r="N123" s="61">
        <v>10</v>
      </c>
      <c r="O123" s="62">
        <f t="shared" si="21"/>
        <v>6</v>
      </c>
      <c r="P123" s="62">
        <f t="shared" si="22"/>
        <v>0.1</v>
      </c>
      <c r="Q123" s="65">
        <f t="shared" si="14"/>
        <v>0.73153333333333315</v>
      </c>
      <c r="R123" s="66">
        <f>Таблица1[[#This Row],[Profit]]/Таблица1[[#This Row],[Price]]</f>
        <v>0.11550526315789471</v>
      </c>
      <c r="S123" s="60">
        <f>VLOOKUP($A123,'Order Composition'!$B$2:$F$10,MATCH($C123,'Order Composition'!$B$2:$F$2,0),0)</f>
        <v>0.85</v>
      </c>
      <c r="T123" s="65">
        <f t="shared" si="15"/>
        <v>0.62180333333333315</v>
      </c>
      <c r="U123" s="65">
        <f>Таблица1[[#This Row],[Price]]*Таблица1[[#This Row],[Order]]</f>
        <v>5.3833333333333329</v>
      </c>
      <c r="V123" s="65">
        <f>Таблица1[[#This Row],[Cost(with labour)]]*Таблица1[[#This Row],[Order]]</f>
        <v>4.7615299999999996</v>
      </c>
      <c r="W123" s="67">
        <f>VLOOKUP($A123,'Mean order price'!$B$2:$H$10,7,0)</f>
        <v>9.5</v>
      </c>
      <c r="X123" s="68">
        <f t="shared" si="13"/>
        <v>0.95000000000000007</v>
      </c>
    </row>
    <row r="124" spans="1:24">
      <c r="A124" s="53" t="s">
        <v>53</v>
      </c>
      <c r="B124" s="54">
        <f t="shared" si="16"/>
        <v>121</v>
      </c>
      <c r="C124" s="53" t="s">
        <v>27</v>
      </c>
      <c r="D124" s="53" t="s">
        <v>37</v>
      </c>
      <c r="E124" s="59">
        <f>VLOOKUP('Menu and cost - USA by city'!D124,'Menu and cost - Russia'!$D$4:$P$29,2,FALSE)*(VLOOKUP('Menu and cost - USA by city'!A124,COGS!$B$3:$I$10,8,FALSE)/3)*0.4</f>
        <v>6.333333333333333</v>
      </c>
      <c r="F124" s="59">
        <f>SUMPRODUCT(H124:L124,'Mean order price'!$C$7:$G$7)*G124+P124*'Mean order price'!$H$7</f>
        <v>5.7575000000000003</v>
      </c>
      <c r="G124" s="53">
        <v>0.3</v>
      </c>
      <c r="H124" s="60">
        <v>0.1</v>
      </c>
      <c r="I124" s="60">
        <v>0.5</v>
      </c>
      <c r="J124" s="60">
        <v>0.2</v>
      </c>
      <c r="K124" s="60">
        <v>0</v>
      </c>
      <c r="L124" s="60">
        <v>0.2</v>
      </c>
      <c r="M124" s="60">
        <f t="shared" si="20"/>
        <v>1</v>
      </c>
      <c r="N124" s="61">
        <v>10</v>
      </c>
      <c r="O124" s="62">
        <f t="shared" si="21"/>
        <v>6</v>
      </c>
      <c r="P124" s="62">
        <f t="shared" si="22"/>
        <v>0.1</v>
      </c>
      <c r="Q124" s="65">
        <f t="shared" si="14"/>
        <v>0.57583333333333275</v>
      </c>
      <c r="R124" s="66">
        <f>Таблица1[[#This Row],[Profit]]/Таблица1[[#This Row],[Price]]</f>
        <v>9.0921052631578861E-2</v>
      </c>
      <c r="S124" s="60">
        <f>VLOOKUP($A124,'Order Composition'!$B$2:$F$10,MATCH($C124,'Order Composition'!$B$2:$F$2,0),0)</f>
        <v>0.85</v>
      </c>
      <c r="T124" s="65">
        <f t="shared" si="15"/>
        <v>0.48945833333333283</v>
      </c>
      <c r="U124" s="65">
        <f>Таблица1[[#This Row],[Price]]*Таблица1[[#This Row],[Order]]</f>
        <v>5.3833333333333329</v>
      </c>
      <c r="V124" s="65">
        <f>Таблица1[[#This Row],[Cost(with labour)]]*Таблица1[[#This Row],[Order]]</f>
        <v>4.8938750000000004</v>
      </c>
      <c r="W124" s="67">
        <f>VLOOKUP($A124,'Mean order price'!$B$2:$H$10,7,0)</f>
        <v>9.5</v>
      </c>
      <c r="X124" s="68">
        <f t="shared" si="13"/>
        <v>0.95000000000000007</v>
      </c>
    </row>
    <row r="125" spans="1:24">
      <c r="A125" s="53" t="s">
        <v>53</v>
      </c>
      <c r="B125" s="54">
        <f t="shared" si="16"/>
        <v>122</v>
      </c>
      <c r="C125" s="53" t="s">
        <v>38</v>
      </c>
      <c r="D125" s="53" t="s">
        <v>39</v>
      </c>
      <c r="E125" s="59">
        <f>VLOOKUP('Menu and cost - USA by city'!D125,'Menu and cost - Russia'!$D$4:$P$29,2,FALSE)*(VLOOKUP('Menu and cost - USA by city'!A125,COGS!$B$3:$I$10,8,FALSE)/3)*0.4</f>
        <v>3.8000000000000003</v>
      </c>
      <c r="F125" s="59">
        <f>SUMPRODUCT(H125:L125,'Mean order price'!$C$7:$G$7)*G125+P125*'Mean order price'!$H$7</f>
        <v>2.4494500000000001</v>
      </c>
      <c r="G125" s="53">
        <v>0.15</v>
      </c>
      <c r="H125" s="60">
        <v>0.2</v>
      </c>
      <c r="I125" s="60">
        <v>0</v>
      </c>
      <c r="J125" s="60">
        <v>0.5</v>
      </c>
      <c r="K125" s="60">
        <v>0</v>
      </c>
      <c r="L125" s="60">
        <v>0.3</v>
      </c>
      <c r="M125" s="60">
        <f t="shared" si="20"/>
        <v>1</v>
      </c>
      <c r="N125" s="61">
        <v>20</v>
      </c>
      <c r="O125" s="62">
        <f t="shared" si="21"/>
        <v>3</v>
      </c>
      <c r="P125" s="62">
        <f t="shared" si="22"/>
        <v>0.05</v>
      </c>
      <c r="Q125" s="65">
        <f t="shared" si="14"/>
        <v>1.3505500000000001</v>
      </c>
      <c r="R125" s="66">
        <f>Таблица1[[#This Row],[Profit]]/Таблица1[[#This Row],[Price]]</f>
        <v>0.35540789473684209</v>
      </c>
      <c r="S125" s="60">
        <f>VLOOKUP($A125,'Order Composition'!$B$2:$F$10,MATCH($C125,'Order Composition'!$B$2:$F$2,0),0)</f>
        <v>0.8</v>
      </c>
      <c r="T125" s="65">
        <f t="shared" si="15"/>
        <v>1.0804400000000001</v>
      </c>
      <c r="U125" s="65">
        <f>Таблица1[[#This Row],[Price]]*Таблица1[[#This Row],[Order]]</f>
        <v>3.0400000000000005</v>
      </c>
      <c r="V125" s="65">
        <f>Таблица1[[#This Row],[Cost(with labour)]]*Таблица1[[#This Row],[Order]]</f>
        <v>1.9595600000000002</v>
      </c>
      <c r="W125" s="67">
        <f>VLOOKUP($A125,'Mean order price'!$B$2:$H$10,7,0)</f>
        <v>9.5</v>
      </c>
      <c r="X125" s="68">
        <f t="shared" si="13"/>
        <v>0.47500000000000003</v>
      </c>
    </row>
    <row r="126" spans="1:24">
      <c r="A126" s="53" t="s">
        <v>53</v>
      </c>
      <c r="B126" s="54">
        <f t="shared" si="16"/>
        <v>123</v>
      </c>
      <c r="C126" s="53" t="s">
        <v>38</v>
      </c>
      <c r="D126" s="53" t="s">
        <v>40</v>
      </c>
      <c r="E126" s="59">
        <f>VLOOKUP('Menu and cost - USA by city'!D126,'Menu and cost - Russia'!$D$4:$P$29,2,FALSE)*(VLOOKUP('Menu and cost - USA by city'!A126,COGS!$B$3:$I$10,8,FALSE)/3)*0.4</f>
        <v>3.8000000000000003</v>
      </c>
      <c r="F126" s="59">
        <f>SUMPRODUCT(H126:L126,'Mean order price'!$C$7:$G$7)*G126+P126*'Mean order price'!$H$7</f>
        <v>2.4494500000000001</v>
      </c>
      <c r="G126" s="53">
        <v>0.15</v>
      </c>
      <c r="H126" s="60">
        <v>0.2</v>
      </c>
      <c r="I126" s="60">
        <v>0</v>
      </c>
      <c r="J126" s="60">
        <v>0.5</v>
      </c>
      <c r="K126" s="60">
        <v>0</v>
      </c>
      <c r="L126" s="60">
        <v>0.3</v>
      </c>
      <c r="M126" s="60">
        <f t="shared" si="20"/>
        <v>1</v>
      </c>
      <c r="N126" s="61">
        <v>20</v>
      </c>
      <c r="O126" s="62">
        <f t="shared" si="21"/>
        <v>3</v>
      </c>
      <c r="P126" s="62">
        <f t="shared" si="22"/>
        <v>0.05</v>
      </c>
      <c r="Q126" s="65">
        <f t="shared" si="14"/>
        <v>1.3505500000000001</v>
      </c>
      <c r="R126" s="66">
        <f>Таблица1[[#This Row],[Profit]]/Таблица1[[#This Row],[Price]]</f>
        <v>0.35540789473684209</v>
      </c>
      <c r="S126" s="60">
        <f>VLOOKUP($A126,'Order Composition'!$B$2:$F$10,MATCH($C126,'Order Composition'!$B$2:$F$2,0),0)</f>
        <v>0.8</v>
      </c>
      <c r="T126" s="65">
        <f t="shared" si="15"/>
        <v>1.0804400000000001</v>
      </c>
      <c r="U126" s="65">
        <f>Таблица1[[#This Row],[Price]]*Таблица1[[#This Row],[Order]]</f>
        <v>3.0400000000000005</v>
      </c>
      <c r="V126" s="65">
        <f>Таблица1[[#This Row],[Cost(with labour)]]*Таблица1[[#This Row],[Order]]</f>
        <v>1.9595600000000002</v>
      </c>
      <c r="W126" s="67">
        <f>VLOOKUP($A126,'Mean order price'!$B$2:$H$10,7,0)</f>
        <v>9.5</v>
      </c>
      <c r="X126" s="68">
        <f t="shared" si="13"/>
        <v>0.47500000000000003</v>
      </c>
    </row>
    <row r="127" spans="1:24">
      <c r="A127" s="53" t="s">
        <v>53</v>
      </c>
      <c r="B127" s="54">
        <f t="shared" si="16"/>
        <v>124</v>
      </c>
      <c r="C127" s="53" t="s">
        <v>38</v>
      </c>
      <c r="D127" s="53" t="s">
        <v>41</v>
      </c>
      <c r="E127" s="59">
        <f>VLOOKUP('Menu and cost - USA by city'!D127,'Menu and cost - Russia'!$D$4:$P$29,2,FALSE)*(VLOOKUP('Menu and cost - USA by city'!A127,COGS!$B$3:$I$10,8,FALSE)/3)*0.4</f>
        <v>1.9000000000000001</v>
      </c>
      <c r="F127" s="59">
        <f>SUMPRODUCT(H127:L127,'Mean order price'!$C$7:$G$7)*G127+P127*'Mean order price'!$H$7</f>
        <v>1.4746333333333332</v>
      </c>
      <c r="G127" s="53">
        <v>0.1</v>
      </c>
      <c r="H127" s="60">
        <v>0.2</v>
      </c>
      <c r="I127" s="60">
        <v>0</v>
      </c>
      <c r="J127" s="60">
        <v>0.5</v>
      </c>
      <c r="K127" s="60">
        <v>0</v>
      </c>
      <c r="L127" s="60">
        <v>0.3</v>
      </c>
      <c r="M127" s="60">
        <f t="shared" si="20"/>
        <v>1</v>
      </c>
      <c r="N127" s="61">
        <v>60</v>
      </c>
      <c r="O127" s="62">
        <f t="shared" si="21"/>
        <v>1</v>
      </c>
      <c r="P127" s="62">
        <f t="shared" si="22"/>
        <v>1.6666666666666666E-2</v>
      </c>
      <c r="Q127" s="65">
        <f t="shared" si="14"/>
        <v>0.42536666666666689</v>
      </c>
      <c r="R127" s="66">
        <f>Таблица1[[#This Row],[Profit]]/Таблица1[[#This Row],[Price]]</f>
        <v>0.22387719298245623</v>
      </c>
      <c r="S127" s="60">
        <f>VLOOKUP($A127,'Order Composition'!$B$2:$F$10,MATCH($C127,'Order Composition'!$B$2:$F$2,0),0)</f>
        <v>0.8</v>
      </c>
      <c r="T127" s="65">
        <f t="shared" si="15"/>
        <v>0.34029333333333356</v>
      </c>
      <c r="U127" s="65">
        <f>Таблица1[[#This Row],[Price]]*Таблица1[[#This Row],[Order]]</f>
        <v>1.5200000000000002</v>
      </c>
      <c r="V127" s="65">
        <f>Таблица1[[#This Row],[Cost(with labour)]]*Таблица1[[#This Row],[Order]]</f>
        <v>1.1797066666666667</v>
      </c>
      <c r="W127" s="67">
        <f>VLOOKUP($A127,'Mean order price'!$B$2:$H$10,7,0)</f>
        <v>9.5</v>
      </c>
      <c r="X127" s="68">
        <f t="shared" si="13"/>
        <v>0.15833333333333333</v>
      </c>
    </row>
    <row r="128" spans="1:24">
      <c r="A128" s="53" t="s">
        <v>53</v>
      </c>
      <c r="B128" s="54">
        <f t="shared" si="16"/>
        <v>125</v>
      </c>
      <c r="C128" s="53" t="s">
        <v>11</v>
      </c>
      <c r="D128" s="53" t="s">
        <v>42</v>
      </c>
      <c r="E128" s="59">
        <f>VLOOKUP('Menu and cost - USA by city'!D128,'Menu and cost - Russia'!$D$4:$P$29,2,FALSE)*(VLOOKUP('Menu and cost - USA by city'!A128,COGS!$B$3:$I$10,8,FALSE)/3)*0.4</f>
        <v>1.9000000000000001</v>
      </c>
      <c r="F128" s="59">
        <f>SUMPRODUCT(H128:L128,'Mean order price'!$C$7:$G$7)*G128+P128*'Mean order price'!$H$7</f>
        <v>1.9791666666666667</v>
      </c>
      <c r="G128" s="53">
        <v>0.2</v>
      </c>
      <c r="H128" s="60">
        <v>0</v>
      </c>
      <c r="I128" s="60">
        <v>0</v>
      </c>
      <c r="J128" s="60">
        <v>0</v>
      </c>
      <c r="K128" s="60">
        <v>1</v>
      </c>
      <c r="L128" s="60">
        <v>0</v>
      </c>
      <c r="M128" s="60">
        <f t="shared" si="20"/>
        <v>1</v>
      </c>
      <c r="N128" s="61">
        <v>120</v>
      </c>
      <c r="O128" s="62">
        <f t="shared" si="21"/>
        <v>0.5</v>
      </c>
      <c r="P128" s="62">
        <f t="shared" si="22"/>
        <v>8.3333333333333332E-3</v>
      </c>
      <c r="Q128" s="65">
        <f t="shared" si="14"/>
        <v>-7.9166666666666607E-2</v>
      </c>
      <c r="R128" s="66">
        <f>Таблица1[[#This Row],[Profit]]/Таблица1[[#This Row],[Price]]</f>
        <v>-4.166666666666663E-2</v>
      </c>
      <c r="S128" s="60">
        <f>VLOOKUP($A128,'Order Composition'!$B$2:$F$10,MATCH($C128,'Order Composition'!$B$2:$F$2,0),0)</f>
        <v>0.95</v>
      </c>
      <c r="T128" s="65">
        <f t="shared" si="15"/>
        <v>-7.520833333333328E-2</v>
      </c>
      <c r="U128" s="65">
        <f>Таблица1[[#This Row],[Price]]*Таблица1[[#This Row],[Order]]</f>
        <v>1.8049999999999999</v>
      </c>
      <c r="V128" s="65">
        <f>Таблица1[[#This Row],[Cost(with labour)]]*Таблица1[[#This Row],[Order]]</f>
        <v>1.8802083333333333</v>
      </c>
      <c r="W128" s="67">
        <f>VLOOKUP($A128,'Mean order price'!$B$2:$H$10,7,0)</f>
        <v>9.5</v>
      </c>
      <c r="X128" s="68">
        <f t="shared" si="13"/>
        <v>7.9166666666666663E-2</v>
      </c>
    </row>
    <row r="129" spans="1:24">
      <c r="A129" s="53" t="s">
        <v>53</v>
      </c>
      <c r="B129" s="54">
        <f t="shared" si="16"/>
        <v>126</v>
      </c>
      <c r="C129" s="53" t="s">
        <v>11</v>
      </c>
      <c r="D129" s="53" t="s">
        <v>43</v>
      </c>
      <c r="E129" s="59">
        <f>VLOOKUP('Menu and cost - USA by city'!D129,'Menu and cost - Russia'!$D$4:$P$29,2,FALSE)*(VLOOKUP('Menu and cost - USA by city'!A129,COGS!$B$3:$I$10,8,FALSE)/3)*0.4</f>
        <v>1.9000000000000001</v>
      </c>
      <c r="F129" s="59">
        <f>SUMPRODUCT(H129:L129,'Mean order price'!$C$7:$G$7)*G129+P129*'Mean order price'!$H$7</f>
        <v>1.9791666666666667</v>
      </c>
      <c r="G129" s="53">
        <v>0.2</v>
      </c>
      <c r="H129" s="60">
        <v>0</v>
      </c>
      <c r="I129" s="60">
        <v>0</v>
      </c>
      <c r="J129" s="60">
        <v>0</v>
      </c>
      <c r="K129" s="60">
        <v>1</v>
      </c>
      <c r="L129" s="60">
        <v>0</v>
      </c>
      <c r="M129" s="60">
        <f t="shared" si="20"/>
        <v>1</v>
      </c>
      <c r="N129" s="61">
        <v>120</v>
      </c>
      <c r="O129" s="62">
        <f t="shared" si="21"/>
        <v>0.5</v>
      </c>
      <c r="P129" s="62">
        <f t="shared" si="22"/>
        <v>8.3333333333333332E-3</v>
      </c>
      <c r="Q129" s="65">
        <f t="shared" si="14"/>
        <v>-7.9166666666666607E-2</v>
      </c>
      <c r="R129" s="66">
        <f>Таблица1[[#This Row],[Profit]]/Таблица1[[#This Row],[Price]]</f>
        <v>-4.166666666666663E-2</v>
      </c>
      <c r="S129" s="60">
        <f>VLOOKUP($A129,'Order Composition'!$B$2:$F$10,MATCH($C129,'Order Composition'!$B$2:$F$2,0),0)</f>
        <v>0.95</v>
      </c>
      <c r="T129" s="65">
        <f t="shared" si="15"/>
        <v>-7.520833333333328E-2</v>
      </c>
      <c r="U129" s="65">
        <f>Таблица1[[#This Row],[Price]]*Таблица1[[#This Row],[Order]]</f>
        <v>1.8049999999999999</v>
      </c>
      <c r="V129" s="65">
        <f>Таблица1[[#This Row],[Cost(with labour)]]*Таблица1[[#This Row],[Order]]</f>
        <v>1.8802083333333333</v>
      </c>
      <c r="W129" s="67">
        <f>VLOOKUP($A129,'Mean order price'!$B$2:$H$10,7,0)</f>
        <v>9.5</v>
      </c>
      <c r="X129" s="68">
        <f t="shared" si="13"/>
        <v>7.9166666666666663E-2</v>
      </c>
    </row>
    <row r="130" spans="1:24">
      <c r="A130" s="53" t="s">
        <v>53</v>
      </c>
      <c r="B130" s="54">
        <f t="shared" si="16"/>
        <v>127</v>
      </c>
      <c r="C130" s="53" t="s">
        <v>11</v>
      </c>
      <c r="D130" s="53" t="s">
        <v>44</v>
      </c>
      <c r="E130" s="59">
        <f>VLOOKUP('Menu and cost - USA by city'!D130,'Menu and cost - Russia'!$D$4:$P$29,2,FALSE)*(VLOOKUP('Menu and cost - USA by city'!A130,COGS!$B$3:$I$10,8,FALSE)/3)*0.4</f>
        <v>2.5333333333333332</v>
      </c>
      <c r="F130" s="59">
        <f>SUMPRODUCT(H130:L130,'Mean order price'!$C$7:$G$7)*G130+P130*'Mean order price'!$H$7</f>
        <v>2.2879333333333332</v>
      </c>
      <c r="G130" s="53">
        <v>0.2</v>
      </c>
      <c r="H130" s="60">
        <v>0</v>
      </c>
      <c r="I130" s="60">
        <v>0</v>
      </c>
      <c r="J130" s="60">
        <v>0.2</v>
      </c>
      <c r="K130" s="60">
        <v>0.8</v>
      </c>
      <c r="L130" s="60">
        <v>0</v>
      </c>
      <c r="M130" s="60">
        <f t="shared" si="20"/>
        <v>1</v>
      </c>
      <c r="N130" s="61">
        <v>60</v>
      </c>
      <c r="O130" s="62">
        <f t="shared" si="21"/>
        <v>1</v>
      </c>
      <c r="P130" s="62">
        <f t="shared" si="22"/>
        <v>1.6666666666666666E-2</v>
      </c>
      <c r="Q130" s="65">
        <f t="shared" si="14"/>
        <v>0.24540000000000006</v>
      </c>
      <c r="R130" s="66">
        <f>Таблица1[[#This Row],[Profit]]/Таблица1[[#This Row],[Price]]</f>
        <v>9.6868421052631604E-2</v>
      </c>
      <c r="S130" s="60">
        <f>VLOOKUP($A130,'Order Composition'!$B$2:$F$10,MATCH($C130,'Order Composition'!$B$2:$F$2,0),0)</f>
        <v>0.95</v>
      </c>
      <c r="T130" s="65">
        <f t="shared" si="15"/>
        <v>0.23313000000000006</v>
      </c>
      <c r="U130" s="65">
        <f>Таблица1[[#This Row],[Price]]*Таблица1[[#This Row],[Order]]</f>
        <v>2.4066666666666663</v>
      </c>
      <c r="V130" s="65">
        <f>Таблица1[[#This Row],[Cost(with labour)]]*Таблица1[[#This Row],[Order]]</f>
        <v>2.1735366666666662</v>
      </c>
      <c r="W130" s="67">
        <f>VLOOKUP($A130,'Mean order price'!$B$2:$H$10,7,0)</f>
        <v>9.5</v>
      </c>
      <c r="X130" s="68">
        <f t="shared" si="13"/>
        <v>0.15833333333333333</v>
      </c>
    </row>
    <row r="131" spans="1:24">
      <c r="A131" s="53" t="s">
        <v>53</v>
      </c>
      <c r="B131" s="54">
        <f t="shared" si="16"/>
        <v>128</v>
      </c>
      <c r="C131" s="53" t="s">
        <v>11</v>
      </c>
      <c r="D131" s="53" t="s">
        <v>45</v>
      </c>
      <c r="E131" s="59">
        <f>VLOOKUP('Menu and cost - USA by city'!D131,'Menu and cost - Russia'!$D$4:$P$29,2,FALSE)*(VLOOKUP('Menu and cost - USA by city'!A131,COGS!$B$3:$I$10,8,FALSE)/3)*0.4</f>
        <v>2.5333333333333332</v>
      </c>
      <c r="F131" s="59">
        <f>SUMPRODUCT(H131:L131,'Mean order price'!$C$7:$G$7)*G131+P131*'Mean order price'!$H$7</f>
        <v>2.2879333333333332</v>
      </c>
      <c r="G131" s="53">
        <v>0.2</v>
      </c>
      <c r="H131" s="60">
        <v>0</v>
      </c>
      <c r="I131" s="60">
        <v>0</v>
      </c>
      <c r="J131" s="60">
        <v>0.2</v>
      </c>
      <c r="K131" s="60">
        <v>0.8</v>
      </c>
      <c r="L131" s="60">
        <v>0</v>
      </c>
      <c r="M131" s="60">
        <f t="shared" si="20"/>
        <v>1</v>
      </c>
      <c r="N131" s="61">
        <v>60</v>
      </c>
      <c r="O131" s="62">
        <f t="shared" si="21"/>
        <v>1</v>
      </c>
      <c r="P131" s="62">
        <f t="shared" si="22"/>
        <v>1.6666666666666666E-2</v>
      </c>
      <c r="Q131" s="65">
        <f t="shared" si="14"/>
        <v>0.24540000000000006</v>
      </c>
      <c r="R131" s="66">
        <f>Таблица1[[#This Row],[Profit]]/Таблица1[[#This Row],[Price]]</f>
        <v>9.6868421052631604E-2</v>
      </c>
      <c r="S131" s="60">
        <f>VLOOKUP($A131,'Order Composition'!$B$2:$F$10,MATCH($C131,'Order Composition'!$B$2:$F$2,0),0)</f>
        <v>0.95</v>
      </c>
      <c r="T131" s="65">
        <f t="shared" si="15"/>
        <v>0.23313000000000006</v>
      </c>
      <c r="U131" s="65">
        <f>Таблица1[[#This Row],[Price]]*Таблица1[[#This Row],[Order]]</f>
        <v>2.4066666666666663</v>
      </c>
      <c r="V131" s="65">
        <f>Таблица1[[#This Row],[Cost(with labour)]]*Таблица1[[#This Row],[Order]]</f>
        <v>2.1735366666666662</v>
      </c>
      <c r="W131" s="67">
        <f>VLOOKUP($A131,'Mean order price'!$B$2:$H$10,7,0)</f>
        <v>9.5</v>
      </c>
      <c r="X131" s="68">
        <f t="shared" si="13"/>
        <v>0.15833333333333333</v>
      </c>
    </row>
    <row r="132" spans="1:24">
      <c r="A132" s="53" t="s">
        <v>53</v>
      </c>
      <c r="B132" s="54">
        <f t="shared" si="16"/>
        <v>129</v>
      </c>
      <c r="C132" s="53" t="s">
        <v>11</v>
      </c>
      <c r="D132" s="53" t="s">
        <v>46</v>
      </c>
      <c r="E132" s="59">
        <f>VLOOKUP('Menu and cost - USA by city'!D132,'Menu and cost - Russia'!$D$4:$P$29,2,FALSE)*(VLOOKUP('Menu and cost - USA by city'!A132,COGS!$B$3:$I$10,8,FALSE)/3)*0.4</f>
        <v>1.9000000000000001</v>
      </c>
      <c r="F132" s="59">
        <f>SUMPRODUCT(H132:L132,'Mean order price'!$C$7:$G$7)*G132+P132*'Mean order price'!$H$7</f>
        <v>2.1375000000000002</v>
      </c>
      <c r="G132" s="53">
        <v>0.2</v>
      </c>
      <c r="H132" s="60">
        <v>0</v>
      </c>
      <c r="I132" s="60">
        <v>0</v>
      </c>
      <c r="J132" s="60">
        <v>0</v>
      </c>
      <c r="K132" s="60">
        <v>1</v>
      </c>
      <c r="L132" s="60">
        <v>0</v>
      </c>
      <c r="M132" s="60">
        <f t="shared" si="20"/>
        <v>1</v>
      </c>
      <c r="N132" s="61">
        <v>40</v>
      </c>
      <c r="O132" s="62">
        <f t="shared" si="21"/>
        <v>1.5</v>
      </c>
      <c r="P132" s="62">
        <f t="shared" si="22"/>
        <v>2.5000000000000001E-2</v>
      </c>
      <c r="Q132" s="65">
        <f t="shared" si="14"/>
        <v>-0.23750000000000004</v>
      </c>
      <c r="R132" s="66">
        <f>Таблица1[[#This Row],[Profit]]/Таблица1[[#This Row],[Price]]</f>
        <v>-0.12500000000000003</v>
      </c>
      <c r="S132" s="60">
        <f>VLOOKUP($A132,'Order Composition'!$B$2:$F$10,MATCH($C132,'Order Composition'!$B$2:$F$2,0),0)</f>
        <v>0.95</v>
      </c>
      <c r="T132" s="65">
        <f t="shared" si="15"/>
        <v>-0.22562500000000002</v>
      </c>
      <c r="U132" s="65">
        <f>Таблица1[[#This Row],[Price]]*Таблица1[[#This Row],[Order]]</f>
        <v>1.8049999999999999</v>
      </c>
      <c r="V132" s="65">
        <f>Таблица1[[#This Row],[Cost(with labour)]]*Таблица1[[#This Row],[Order]]</f>
        <v>2.0306250000000001</v>
      </c>
      <c r="W132" s="67">
        <f>VLOOKUP($A132,'Mean order price'!$B$2:$H$10,7,0)</f>
        <v>9.5</v>
      </c>
      <c r="X132" s="68">
        <f t="shared" ref="X132:X195" si="23">W132*P132</f>
        <v>0.23750000000000002</v>
      </c>
    </row>
    <row r="133" spans="1:24">
      <c r="A133" s="53" t="s">
        <v>53</v>
      </c>
      <c r="B133" s="54">
        <f t="shared" si="16"/>
        <v>130</v>
      </c>
      <c r="C133" s="53" t="s">
        <v>11</v>
      </c>
      <c r="D133" s="53" t="s">
        <v>47</v>
      </c>
      <c r="E133" s="59">
        <f>VLOOKUP('Menu and cost - USA by city'!D133,'Menu and cost - Russia'!$D$4:$P$29,2,FALSE)*(VLOOKUP('Menu and cost - USA by city'!A133,COGS!$B$3:$I$10,8,FALSE)/3)*0.4</f>
        <v>1.9000000000000001</v>
      </c>
      <c r="F133" s="59">
        <f>SUMPRODUCT(H133:L133,'Mean order price'!$C$7:$G$7)*G133+P133*'Mean order price'!$H$7</f>
        <v>2.2523000000000004</v>
      </c>
      <c r="G133" s="53">
        <v>0.2</v>
      </c>
      <c r="H133" s="60">
        <v>0</v>
      </c>
      <c r="I133" s="60">
        <v>0</v>
      </c>
      <c r="J133" s="60">
        <v>0.1</v>
      </c>
      <c r="K133" s="60">
        <v>0.9</v>
      </c>
      <c r="L133" s="60">
        <v>0</v>
      </c>
      <c r="M133" s="60">
        <f t="shared" si="20"/>
        <v>1</v>
      </c>
      <c r="N133" s="61">
        <v>40</v>
      </c>
      <c r="O133" s="62">
        <f t="shared" si="21"/>
        <v>1.5</v>
      </c>
      <c r="P133" s="62">
        <f t="shared" si="22"/>
        <v>2.5000000000000001E-2</v>
      </c>
      <c r="Q133" s="65">
        <f t="shared" ref="Q133:Q196" si="24">E133-F133</f>
        <v>-0.35230000000000028</v>
      </c>
      <c r="R133" s="66">
        <f>Таблица1[[#This Row],[Profit]]/Таблица1[[#This Row],[Price]]</f>
        <v>-0.18542105263157907</v>
      </c>
      <c r="S133" s="60">
        <f>VLOOKUP($A133,'Order Composition'!$B$2:$F$10,MATCH($C133,'Order Composition'!$B$2:$F$2,0),0)</f>
        <v>0.95</v>
      </c>
      <c r="T133" s="65">
        <f t="shared" ref="T133:T196" si="25">S133*Q133</f>
        <v>-0.33468500000000023</v>
      </c>
      <c r="U133" s="65">
        <f>Таблица1[[#This Row],[Price]]*Таблица1[[#This Row],[Order]]</f>
        <v>1.8049999999999999</v>
      </c>
      <c r="V133" s="65">
        <f>Таблица1[[#This Row],[Cost(with labour)]]*Таблица1[[#This Row],[Order]]</f>
        <v>2.1396850000000005</v>
      </c>
      <c r="W133" s="67">
        <f>VLOOKUP($A133,'Mean order price'!$B$2:$H$10,7,0)</f>
        <v>9.5</v>
      </c>
      <c r="X133" s="68">
        <f t="shared" si="23"/>
        <v>0.23750000000000002</v>
      </c>
    </row>
    <row r="134" spans="1:24">
      <c r="A134" s="53" t="s">
        <v>54</v>
      </c>
      <c r="B134" s="54">
        <f t="shared" ref="B134:B197" si="26">B133+1</f>
        <v>131</v>
      </c>
      <c r="C134" s="53" t="s">
        <v>19</v>
      </c>
      <c r="D134" s="53" t="s">
        <v>20</v>
      </c>
      <c r="E134" s="59">
        <f>VLOOKUP('Menu and cost - USA by city'!D134,'Menu and cost - Russia'!$D$4:$P$29,2,FALSE)*(VLOOKUP('Menu and cost - USA by city'!A134,COGS!$B$3:$I$10,8,FALSE)/3)*0.4</f>
        <v>3.2</v>
      </c>
      <c r="F134" s="59">
        <f>SUMPRODUCT(H134:L134,'Mean order price'!$C$8:$G$8)*G134+P134*'Mean order price'!$H$8</f>
        <v>2.3500000000000005</v>
      </c>
      <c r="G134" s="53">
        <v>0.2</v>
      </c>
      <c r="H134" s="60">
        <v>0</v>
      </c>
      <c r="I134" s="60">
        <v>0</v>
      </c>
      <c r="J134" s="60">
        <v>0.9</v>
      </c>
      <c r="K134" s="60">
        <v>0</v>
      </c>
      <c r="L134" s="60">
        <v>0.1</v>
      </c>
      <c r="M134" s="60">
        <f t="shared" si="20"/>
        <v>1</v>
      </c>
      <c r="N134" s="61">
        <v>20</v>
      </c>
      <c r="O134" s="62">
        <f t="shared" si="21"/>
        <v>3</v>
      </c>
      <c r="P134" s="62">
        <f t="shared" si="22"/>
        <v>0.05</v>
      </c>
      <c r="Q134" s="65">
        <f t="shared" si="24"/>
        <v>0.84999999999999964</v>
      </c>
      <c r="R134" s="66">
        <f>Таблица1[[#This Row],[Profit]]/Таблица1[[#This Row],[Price]]</f>
        <v>0.26562499999999989</v>
      </c>
      <c r="S134" s="60">
        <f>VLOOKUP($A134,'Order Composition'!$B$2:$F$10,MATCH($C134,'Order Composition'!$B$2:$F$2,0),0)</f>
        <v>0.4</v>
      </c>
      <c r="T134" s="65">
        <f t="shared" si="25"/>
        <v>0.33999999999999986</v>
      </c>
      <c r="U134" s="65">
        <f>Таблица1[[#This Row],[Price]]*Таблица1[[#This Row],[Order]]</f>
        <v>1.2800000000000002</v>
      </c>
      <c r="V134" s="65">
        <f>Таблица1[[#This Row],[Cost(with labour)]]*Таблица1[[#This Row],[Order]]</f>
        <v>0.94000000000000028</v>
      </c>
      <c r="W134" s="67">
        <f>VLOOKUP($A134,'Mean order price'!$B$2:$H$10,7,0)</f>
        <v>8</v>
      </c>
      <c r="X134" s="68">
        <f t="shared" si="23"/>
        <v>0.4</v>
      </c>
    </row>
    <row r="135" spans="1:24">
      <c r="A135" s="53" t="s">
        <v>54</v>
      </c>
      <c r="B135" s="54">
        <f t="shared" si="26"/>
        <v>132</v>
      </c>
      <c r="C135" s="53" t="s">
        <v>19</v>
      </c>
      <c r="D135" s="53" t="s">
        <v>21</v>
      </c>
      <c r="E135" s="59">
        <f>VLOOKUP('Menu and cost - USA by city'!D135,'Menu and cost - Russia'!$D$4:$P$29,2,FALSE)*(VLOOKUP('Menu and cost - USA by city'!A135,COGS!$B$3:$I$10,8,FALSE)/3)*0.4</f>
        <v>3.2</v>
      </c>
      <c r="F135" s="59">
        <f>SUMPRODUCT(H135:L135,'Mean order price'!$C$8:$G$8)*G135+P135*'Mean order price'!$H$8</f>
        <v>2.4552</v>
      </c>
      <c r="G135" s="53">
        <v>0.2</v>
      </c>
      <c r="H135" s="60">
        <v>0</v>
      </c>
      <c r="I135" s="60">
        <v>0.2</v>
      </c>
      <c r="J135" s="60">
        <v>0.7</v>
      </c>
      <c r="K135" s="60">
        <v>0</v>
      </c>
      <c r="L135" s="60">
        <v>0.1</v>
      </c>
      <c r="M135" s="60">
        <f t="shared" ref="M135:M160" si="27">SUM(H135:L135)</f>
        <v>0.99999999999999989</v>
      </c>
      <c r="N135" s="61">
        <v>20</v>
      </c>
      <c r="O135" s="62">
        <f t="shared" ref="O135:O160" si="28">60/N135</f>
        <v>3</v>
      </c>
      <c r="P135" s="62">
        <f t="shared" ref="P135:P160" si="29">O135/60</f>
        <v>0.05</v>
      </c>
      <c r="Q135" s="65">
        <f t="shared" si="24"/>
        <v>0.74480000000000013</v>
      </c>
      <c r="R135" s="66">
        <f>Таблица1[[#This Row],[Profit]]/Таблица1[[#This Row],[Price]]</f>
        <v>0.23275000000000004</v>
      </c>
      <c r="S135" s="60">
        <f>VLOOKUP($A135,'Order Composition'!$B$2:$F$10,MATCH($C135,'Order Composition'!$B$2:$F$2,0),0)</f>
        <v>0.4</v>
      </c>
      <c r="T135" s="65">
        <f t="shared" si="25"/>
        <v>0.29792000000000007</v>
      </c>
      <c r="U135" s="65">
        <f>Таблица1[[#This Row],[Price]]*Таблица1[[#This Row],[Order]]</f>
        <v>1.2800000000000002</v>
      </c>
      <c r="V135" s="65">
        <f>Таблица1[[#This Row],[Cost(with labour)]]*Таблица1[[#This Row],[Order]]</f>
        <v>0.98208000000000006</v>
      </c>
      <c r="W135" s="67">
        <f>VLOOKUP($A135,'Mean order price'!$B$2:$H$10,7,0)</f>
        <v>8</v>
      </c>
      <c r="X135" s="68">
        <f t="shared" si="23"/>
        <v>0.4</v>
      </c>
    </row>
    <row r="136" spans="1:24">
      <c r="A136" s="53" t="s">
        <v>54</v>
      </c>
      <c r="B136" s="54">
        <f t="shared" si="26"/>
        <v>133</v>
      </c>
      <c r="C136" s="53" t="s">
        <v>19</v>
      </c>
      <c r="D136" s="53" t="s">
        <v>22</v>
      </c>
      <c r="E136" s="59">
        <f>VLOOKUP('Menu and cost - USA by city'!D136,'Menu and cost - Russia'!$D$4:$P$29,2,FALSE)*(VLOOKUP('Menu and cost - USA by city'!A136,COGS!$B$3:$I$10,8,FALSE)/3)*0.4</f>
        <v>3.2</v>
      </c>
      <c r="F136" s="59">
        <f>SUMPRODUCT(H136:L136,'Mean order price'!$C$8:$G$8)*G136+P136*'Mean order price'!$H$8</f>
        <v>2.6130000000000004</v>
      </c>
      <c r="G136" s="53">
        <v>0.2</v>
      </c>
      <c r="H136" s="60">
        <v>0</v>
      </c>
      <c r="I136" s="60">
        <v>0.5</v>
      </c>
      <c r="J136" s="60">
        <v>0.4</v>
      </c>
      <c r="K136" s="60">
        <v>0</v>
      </c>
      <c r="L136" s="60">
        <v>0.1</v>
      </c>
      <c r="M136" s="60">
        <f t="shared" si="27"/>
        <v>1</v>
      </c>
      <c r="N136" s="61">
        <v>20</v>
      </c>
      <c r="O136" s="62">
        <f t="shared" si="28"/>
        <v>3</v>
      </c>
      <c r="P136" s="62">
        <f t="shared" si="29"/>
        <v>0.05</v>
      </c>
      <c r="Q136" s="65">
        <f t="shared" si="24"/>
        <v>0.58699999999999974</v>
      </c>
      <c r="R136" s="66">
        <f>Таблица1[[#This Row],[Profit]]/Таблица1[[#This Row],[Price]]</f>
        <v>0.18343749999999992</v>
      </c>
      <c r="S136" s="60">
        <f>VLOOKUP($A136,'Order Composition'!$B$2:$F$10,MATCH($C136,'Order Composition'!$B$2:$F$2,0),0)</f>
        <v>0.4</v>
      </c>
      <c r="T136" s="65">
        <f t="shared" si="25"/>
        <v>0.2347999999999999</v>
      </c>
      <c r="U136" s="65">
        <f>Таблица1[[#This Row],[Price]]*Таблица1[[#This Row],[Order]]</f>
        <v>1.2800000000000002</v>
      </c>
      <c r="V136" s="65">
        <f>Таблица1[[#This Row],[Cost(with labour)]]*Таблица1[[#This Row],[Order]]</f>
        <v>1.0452000000000001</v>
      </c>
      <c r="W136" s="67">
        <f>VLOOKUP($A136,'Mean order price'!$B$2:$H$10,7,0)</f>
        <v>8</v>
      </c>
      <c r="X136" s="68">
        <f t="shared" si="23"/>
        <v>0.4</v>
      </c>
    </row>
    <row r="137" spans="1:24">
      <c r="A137" s="53" t="s">
        <v>54</v>
      </c>
      <c r="B137" s="54">
        <f t="shared" si="26"/>
        <v>134</v>
      </c>
      <c r="C137" s="53" t="s">
        <v>19</v>
      </c>
      <c r="D137" s="53" t="s">
        <v>23</v>
      </c>
      <c r="E137" s="59">
        <f>VLOOKUP('Menu and cost - USA by city'!D137,'Menu and cost - Russia'!$D$4:$P$29,2,FALSE)*(VLOOKUP('Menu and cost - USA by city'!A137,COGS!$B$3:$I$10,8,FALSE)/3)*0.4</f>
        <v>2.1333333333333333</v>
      </c>
      <c r="F137" s="59">
        <f>SUMPRODUCT(H137:L137,'Mean order price'!$C$8:$G$8)*G137+P137*'Mean order price'!$H$8</f>
        <v>1.5413333333333337</v>
      </c>
      <c r="G137" s="53">
        <v>0.2</v>
      </c>
      <c r="H137" s="60">
        <v>0.1</v>
      </c>
      <c r="I137" s="60">
        <v>0</v>
      </c>
      <c r="J137" s="60">
        <v>0.4</v>
      </c>
      <c r="K137" s="60">
        <v>0.1</v>
      </c>
      <c r="L137" s="60">
        <v>0.4</v>
      </c>
      <c r="M137" s="60">
        <f t="shared" si="27"/>
        <v>1</v>
      </c>
      <c r="N137" s="61">
        <v>60</v>
      </c>
      <c r="O137" s="62">
        <f t="shared" si="28"/>
        <v>1</v>
      </c>
      <c r="P137" s="62">
        <f t="shared" si="29"/>
        <v>1.6666666666666666E-2</v>
      </c>
      <c r="Q137" s="65">
        <f t="shared" si="24"/>
        <v>0.59199999999999964</v>
      </c>
      <c r="R137" s="66">
        <f>Таблица1[[#This Row],[Profit]]/Таблица1[[#This Row],[Price]]</f>
        <v>0.27749999999999986</v>
      </c>
      <c r="S137" s="60">
        <f>VLOOKUP($A137,'Order Composition'!$B$2:$F$10,MATCH($C137,'Order Composition'!$B$2:$F$2,0),0)</f>
        <v>0.4</v>
      </c>
      <c r="T137" s="65">
        <f t="shared" si="25"/>
        <v>0.23679999999999987</v>
      </c>
      <c r="U137" s="65">
        <f>Таблица1[[#This Row],[Price]]*Таблица1[[#This Row],[Order]]</f>
        <v>0.85333333333333339</v>
      </c>
      <c r="V137" s="65">
        <f>Таблица1[[#This Row],[Cost(with labour)]]*Таблица1[[#This Row],[Order]]</f>
        <v>0.61653333333333349</v>
      </c>
      <c r="W137" s="67">
        <f>VLOOKUP($A137,'Mean order price'!$B$2:$H$10,7,0)</f>
        <v>8</v>
      </c>
      <c r="X137" s="68">
        <f t="shared" si="23"/>
        <v>0.13333333333333333</v>
      </c>
    </row>
    <row r="138" spans="1:24">
      <c r="A138" s="53" t="s">
        <v>54</v>
      </c>
      <c r="B138" s="54">
        <f t="shared" si="26"/>
        <v>135</v>
      </c>
      <c r="C138" s="53" t="s">
        <v>19</v>
      </c>
      <c r="D138" s="53" t="s">
        <v>24</v>
      </c>
      <c r="E138" s="59">
        <f>VLOOKUP('Menu and cost - USA by city'!D138,'Menu and cost - Russia'!$D$4:$P$29,2,FALSE)*(VLOOKUP('Menu and cost - USA by city'!A138,COGS!$B$3:$I$10,8,FALSE)/3)*0.4</f>
        <v>2.1333333333333333</v>
      </c>
      <c r="F138" s="59">
        <f>SUMPRODUCT(H138:L138,'Mean order price'!$C$8:$G$8)*G138+P138*'Mean order price'!$H$8</f>
        <v>1.7565333333333333</v>
      </c>
      <c r="G138" s="53">
        <v>0.2</v>
      </c>
      <c r="H138" s="60">
        <v>0.1</v>
      </c>
      <c r="I138" s="60">
        <v>0.2</v>
      </c>
      <c r="J138" s="60">
        <v>0.3</v>
      </c>
      <c r="K138" s="60">
        <v>0.1</v>
      </c>
      <c r="L138" s="60">
        <v>0.3</v>
      </c>
      <c r="M138" s="60">
        <f t="shared" si="27"/>
        <v>1</v>
      </c>
      <c r="N138" s="61">
        <v>60</v>
      </c>
      <c r="O138" s="62">
        <f t="shared" si="28"/>
        <v>1</v>
      </c>
      <c r="P138" s="62">
        <f t="shared" si="29"/>
        <v>1.6666666666666666E-2</v>
      </c>
      <c r="Q138" s="65">
        <f t="shared" si="24"/>
        <v>0.37680000000000002</v>
      </c>
      <c r="R138" s="66">
        <f>Таблица1[[#This Row],[Profit]]/Таблица1[[#This Row],[Price]]</f>
        <v>0.176625</v>
      </c>
      <c r="S138" s="60">
        <f>VLOOKUP($A138,'Order Composition'!$B$2:$F$10,MATCH($C138,'Order Composition'!$B$2:$F$2,0),0)</f>
        <v>0.4</v>
      </c>
      <c r="T138" s="65">
        <f t="shared" si="25"/>
        <v>0.15072000000000002</v>
      </c>
      <c r="U138" s="65">
        <f>Таблица1[[#This Row],[Price]]*Таблица1[[#This Row],[Order]]</f>
        <v>0.85333333333333339</v>
      </c>
      <c r="V138" s="65">
        <f>Таблица1[[#This Row],[Cost(with labour)]]*Таблица1[[#This Row],[Order]]</f>
        <v>0.70261333333333331</v>
      </c>
      <c r="W138" s="67">
        <f>VLOOKUP($A138,'Mean order price'!$B$2:$H$10,7,0)</f>
        <v>8</v>
      </c>
      <c r="X138" s="68">
        <f t="shared" si="23"/>
        <v>0.13333333333333333</v>
      </c>
    </row>
    <row r="139" spans="1:24">
      <c r="A139" s="53" t="s">
        <v>54</v>
      </c>
      <c r="B139" s="54">
        <f t="shared" si="26"/>
        <v>136</v>
      </c>
      <c r="C139" s="53" t="s">
        <v>19</v>
      </c>
      <c r="D139" s="53" t="s">
        <v>25</v>
      </c>
      <c r="E139" s="59">
        <f>VLOOKUP('Menu and cost - USA by city'!D139,'Menu and cost - Russia'!$D$4:$P$29,2,FALSE)*(VLOOKUP('Menu and cost - USA by city'!A139,COGS!$B$3:$I$10,8,FALSE)/3)*0.4</f>
        <v>1.0666666666666667</v>
      </c>
      <c r="F139" s="59">
        <f>SUMPRODUCT(H139:L139,'Mean order price'!$C$8:$G$8)*G139+P139*'Mean order price'!$H$8</f>
        <v>1.1639666666666668</v>
      </c>
      <c r="G139" s="53">
        <v>0.1</v>
      </c>
      <c r="H139" s="60">
        <v>0.1</v>
      </c>
      <c r="I139" s="60">
        <v>0</v>
      </c>
      <c r="J139" s="60">
        <v>0.75</v>
      </c>
      <c r="K139" s="60">
        <v>0.05</v>
      </c>
      <c r="L139" s="60">
        <v>0.1</v>
      </c>
      <c r="M139" s="60">
        <f t="shared" si="27"/>
        <v>1</v>
      </c>
      <c r="N139" s="61">
        <v>30</v>
      </c>
      <c r="O139" s="62">
        <f t="shared" si="28"/>
        <v>2</v>
      </c>
      <c r="P139" s="62">
        <f t="shared" si="29"/>
        <v>3.3333333333333333E-2</v>
      </c>
      <c r="Q139" s="65">
        <f t="shared" si="24"/>
        <v>-9.7300000000000164E-2</v>
      </c>
      <c r="R139" s="66">
        <f>Таблица1[[#This Row],[Profit]]/Таблица1[[#This Row],[Price]]</f>
        <v>-9.1218750000000154E-2</v>
      </c>
      <c r="S139" s="60">
        <f>VLOOKUP($A139,'Order Composition'!$B$2:$F$10,MATCH($C139,'Order Composition'!$B$2:$F$2,0),0)</f>
        <v>0.4</v>
      </c>
      <c r="T139" s="65">
        <f t="shared" si="25"/>
        <v>-3.8920000000000066E-2</v>
      </c>
      <c r="U139" s="65">
        <f>Таблица1[[#This Row],[Price]]*Таблица1[[#This Row],[Order]]</f>
        <v>0.42666666666666669</v>
      </c>
      <c r="V139" s="65">
        <f>Таблица1[[#This Row],[Cost(with labour)]]*Таблица1[[#This Row],[Order]]</f>
        <v>0.46558666666666676</v>
      </c>
      <c r="W139" s="67">
        <f>VLOOKUP($A139,'Mean order price'!$B$2:$H$10,7,0)</f>
        <v>8</v>
      </c>
      <c r="X139" s="68">
        <f t="shared" si="23"/>
        <v>0.26666666666666666</v>
      </c>
    </row>
    <row r="140" spans="1:24">
      <c r="A140" s="53" t="s">
        <v>54</v>
      </c>
      <c r="B140" s="54">
        <f t="shared" si="26"/>
        <v>137</v>
      </c>
      <c r="C140" s="53" t="s">
        <v>19</v>
      </c>
      <c r="D140" s="53" t="s">
        <v>26</v>
      </c>
      <c r="E140" s="59">
        <f>VLOOKUP('Menu and cost - USA by city'!D140,'Menu and cost - Russia'!$D$4:$P$29,2,FALSE)*(VLOOKUP('Menu and cost - USA by city'!A140,COGS!$B$3:$I$10,8,FALSE)/3)*0.4</f>
        <v>1.0666666666666667</v>
      </c>
      <c r="F140" s="59">
        <f>SUMPRODUCT(H140:L140,'Mean order price'!$C$8:$G$8)*G140+P140*'Mean order price'!$H$8</f>
        <v>1.2954666666666668</v>
      </c>
      <c r="G140" s="53">
        <v>0.1</v>
      </c>
      <c r="H140" s="60">
        <v>0.1</v>
      </c>
      <c r="I140" s="60">
        <v>0.5</v>
      </c>
      <c r="J140" s="60">
        <v>0.25</v>
      </c>
      <c r="K140" s="60">
        <v>0.05</v>
      </c>
      <c r="L140" s="60">
        <v>0.1</v>
      </c>
      <c r="M140" s="60">
        <f t="shared" si="27"/>
        <v>1</v>
      </c>
      <c r="N140" s="61">
        <v>30</v>
      </c>
      <c r="O140" s="62">
        <f t="shared" si="28"/>
        <v>2</v>
      </c>
      <c r="P140" s="62">
        <f t="shared" si="29"/>
        <v>3.3333333333333333E-2</v>
      </c>
      <c r="Q140" s="65">
        <f t="shared" si="24"/>
        <v>-0.22880000000000011</v>
      </c>
      <c r="R140" s="66">
        <f>Таблица1[[#This Row],[Profit]]/Таблица1[[#This Row],[Price]]</f>
        <v>-0.21450000000000011</v>
      </c>
      <c r="S140" s="60">
        <f>VLOOKUP($A140,'Order Composition'!$B$2:$F$10,MATCH($C140,'Order Composition'!$B$2:$F$2,0),0)</f>
        <v>0.4</v>
      </c>
      <c r="T140" s="65">
        <f t="shared" si="25"/>
        <v>-9.1520000000000046E-2</v>
      </c>
      <c r="U140" s="65">
        <f>Таблица1[[#This Row],[Price]]*Таблица1[[#This Row],[Order]]</f>
        <v>0.42666666666666669</v>
      </c>
      <c r="V140" s="65">
        <f>Таблица1[[#This Row],[Cost(with labour)]]*Таблица1[[#This Row],[Order]]</f>
        <v>0.51818666666666668</v>
      </c>
      <c r="W140" s="67">
        <f>VLOOKUP($A140,'Mean order price'!$B$2:$H$10,7,0)</f>
        <v>8</v>
      </c>
      <c r="X140" s="68">
        <f t="shared" si="23"/>
        <v>0.26666666666666666</v>
      </c>
    </row>
    <row r="141" spans="1:24">
      <c r="A141" s="53" t="s">
        <v>54</v>
      </c>
      <c r="B141" s="54">
        <f t="shared" si="26"/>
        <v>138</v>
      </c>
      <c r="C141" s="53" t="s">
        <v>27</v>
      </c>
      <c r="D141" s="53" t="s">
        <v>28</v>
      </c>
      <c r="E141" s="59">
        <f>VLOOKUP('Menu and cost - USA by city'!D141,'Menu and cost - Russia'!$D$4:$P$29,2,FALSE)*(VLOOKUP('Menu and cost - USA by city'!A141,COGS!$B$3:$I$10,8,FALSE)/3)*0.4</f>
        <v>3.2</v>
      </c>
      <c r="F141" s="59">
        <f>SUMPRODUCT(H141:L141,'Mean order price'!$C$8:$G$8)*G141+P141*'Mean order price'!$H$8</f>
        <v>2.3279333333333336</v>
      </c>
      <c r="G141" s="53">
        <v>0.2</v>
      </c>
      <c r="H141" s="60">
        <v>0.1</v>
      </c>
      <c r="I141" s="60">
        <v>0</v>
      </c>
      <c r="J141" s="60">
        <v>0.75</v>
      </c>
      <c r="K141" s="60">
        <v>0.05</v>
      </c>
      <c r="L141" s="60">
        <v>0.1</v>
      </c>
      <c r="M141" s="60">
        <f t="shared" si="27"/>
        <v>1</v>
      </c>
      <c r="N141" s="61">
        <v>15</v>
      </c>
      <c r="O141" s="62">
        <f t="shared" si="28"/>
        <v>4</v>
      </c>
      <c r="P141" s="62">
        <f t="shared" si="29"/>
        <v>6.6666666666666666E-2</v>
      </c>
      <c r="Q141" s="65">
        <f t="shared" si="24"/>
        <v>0.87206666666666655</v>
      </c>
      <c r="R141" s="66">
        <f>Таблица1[[#This Row],[Profit]]/Таблица1[[#This Row],[Price]]</f>
        <v>0.27252083333333327</v>
      </c>
      <c r="S141" s="60">
        <f>VLOOKUP($A141,'Order Composition'!$B$2:$F$10,MATCH($C141,'Order Composition'!$B$2:$F$2,0),0)</f>
        <v>0.6</v>
      </c>
      <c r="T141" s="65">
        <f t="shared" si="25"/>
        <v>0.52323999999999993</v>
      </c>
      <c r="U141" s="65">
        <f>Таблица1[[#This Row],[Price]]*Таблица1[[#This Row],[Order]]</f>
        <v>1.92</v>
      </c>
      <c r="V141" s="65">
        <f>Таблица1[[#This Row],[Cost(with labour)]]*Таблица1[[#This Row],[Order]]</f>
        <v>1.3967600000000002</v>
      </c>
      <c r="W141" s="67">
        <f>VLOOKUP($A141,'Mean order price'!$B$2:$H$10,7,0)</f>
        <v>8</v>
      </c>
      <c r="X141" s="68">
        <f t="shared" si="23"/>
        <v>0.53333333333333333</v>
      </c>
    </row>
    <row r="142" spans="1:24">
      <c r="A142" s="53" t="s">
        <v>54</v>
      </c>
      <c r="B142" s="54">
        <f t="shared" si="26"/>
        <v>139</v>
      </c>
      <c r="C142" s="53" t="s">
        <v>27</v>
      </c>
      <c r="D142" s="53" t="s">
        <v>29</v>
      </c>
      <c r="E142" s="59">
        <f>VLOOKUP('Menu and cost - USA by city'!D142,'Menu and cost - Russia'!$D$4:$P$29,2,FALSE)*(VLOOKUP('Menu and cost - USA by city'!A142,COGS!$B$3:$I$10,8,FALSE)/3)*0.4</f>
        <v>3.2</v>
      </c>
      <c r="F142" s="59">
        <f>SUMPRODUCT(H142:L142,'Mean order price'!$C$8:$G$8)*G142+P142*'Mean order price'!$H$8</f>
        <v>2.9288333333333334</v>
      </c>
      <c r="G142" s="53">
        <v>0.3</v>
      </c>
      <c r="H142" s="60">
        <v>0.3</v>
      </c>
      <c r="I142" s="60">
        <v>0</v>
      </c>
      <c r="J142" s="60">
        <v>0.55000000000000004</v>
      </c>
      <c r="K142" s="60">
        <v>0.05</v>
      </c>
      <c r="L142" s="60">
        <v>0.1</v>
      </c>
      <c r="M142" s="60">
        <f t="shared" si="27"/>
        <v>1.0000000000000002</v>
      </c>
      <c r="N142" s="61">
        <v>15</v>
      </c>
      <c r="O142" s="62">
        <f t="shared" si="28"/>
        <v>4</v>
      </c>
      <c r="P142" s="62">
        <f t="shared" si="29"/>
        <v>6.6666666666666666E-2</v>
      </c>
      <c r="Q142" s="65">
        <f t="shared" si="24"/>
        <v>0.27116666666666678</v>
      </c>
      <c r="R142" s="66">
        <f>Таблица1[[#This Row],[Profit]]/Таблица1[[#This Row],[Price]]</f>
        <v>8.4739583333333368E-2</v>
      </c>
      <c r="S142" s="60">
        <f>VLOOKUP($A142,'Order Composition'!$B$2:$F$10,MATCH($C142,'Order Composition'!$B$2:$F$2,0),0)</f>
        <v>0.6</v>
      </c>
      <c r="T142" s="65">
        <f t="shared" si="25"/>
        <v>0.16270000000000007</v>
      </c>
      <c r="U142" s="65">
        <f>Таблица1[[#This Row],[Price]]*Таблица1[[#This Row],[Order]]</f>
        <v>1.92</v>
      </c>
      <c r="V142" s="65">
        <f>Таблица1[[#This Row],[Cost(with labour)]]*Таблица1[[#This Row],[Order]]</f>
        <v>1.7573000000000001</v>
      </c>
      <c r="W142" s="67">
        <f>VLOOKUP($A142,'Mean order price'!$B$2:$H$10,7,0)</f>
        <v>8</v>
      </c>
      <c r="X142" s="68">
        <f t="shared" si="23"/>
        <v>0.53333333333333333</v>
      </c>
    </row>
    <row r="143" spans="1:24">
      <c r="A143" s="53" t="s">
        <v>54</v>
      </c>
      <c r="B143" s="54">
        <f t="shared" si="26"/>
        <v>140</v>
      </c>
      <c r="C143" s="53" t="s">
        <v>27</v>
      </c>
      <c r="D143" s="53" t="s">
        <v>30</v>
      </c>
      <c r="E143" s="59">
        <f>VLOOKUP('Menu and cost - USA by city'!D143,'Menu and cost - Russia'!$D$4:$P$29,2,FALSE)*(VLOOKUP('Menu and cost - USA by city'!A143,COGS!$B$3:$I$10,8,FALSE)/3)*0.4</f>
        <v>3.2</v>
      </c>
      <c r="F143" s="59">
        <f>SUMPRODUCT(H143:L143,'Mean order price'!$C$8:$G$8)*G143+P143*'Mean order price'!$H$8</f>
        <v>3.4224833333333331</v>
      </c>
      <c r="G143" s="53">
        <v>0.3</v>
      </c>
      <c r="H143" s="60">
        <v>0.1</v>
      </c>
      <c r="I143" s="60">
        <v>0.25</v>
      </c>
      <c r="J143" s="60">
        <v>0.5</v>
      </c>
      <c r="K143" s="60">
        <v>0.05</v>
      </c>
      <c r="L143" s="60">
        <v>0.1</v>
      </c>
      <c r="M143" s="60">
        <f t="shared" si="27"/>
        <v>1</v>
      </c>
      <c r="N143" s="61">
        <v>15</v>
      </c>
      <c r="O143" s="62">
        <f t="shared" si="28"/>
        <v>4</v>
      </c>
      <c r="P143" s="62">
        <f t="shared" si="29"/>
        <v>6.6666666666666666E-2</v>
      </c>
      <c r="Q143" s="65">
        <f t="shared" si="24"/>
        <v>-0.22248333333333292</v>
      </c>
      <c r="R143" s="66">
        <f>Таблица1[[#This Row],[Profit]]/Таблица1[[#This Row],[Price]]</f>
        <v>-6.9526041666666538E-2</v>
      </c>
      <c r="S143" s="60">
        <f>VLOOKUP($A143,'Order Composition'!$B$2:$F$10,MATCH($C143,'Order Composition'!$B$2:$F$2,0),0)</f>
        <v>0.6</v>
      </c>
      <c r="T143" s="65">
        <f t="shared" si="25"/>
        <v>-0.13348999999999975</v>
      </c>
      <c r="U143" s="65">
        <f>Таблица1[[#This Row],[Price]]*Таблица1[[#This Row],[Order]]</f>
        <v>1.92</v>
      </c>
      <c r="V143" s="65">
        <f>Таблица1[[#This Row],[Cost(with labour)]]*Таблица1[[#This Row],[Order]]</f>
        <v>2.0534899999999996</v>
      </c>
      <c r="W143" s="67">
        <f>VLOOKUP($A143,'Mean order price'!$B$2:$H$10,7,0)</f>
        <v>8</v>
      </c>
      <c r="X143" s="68">
        <f t="shared" si="23"/>
        <v>0.53333333333333333</v>
      </c>
    </row>
    <row r="144" spans="1:24">
      <c r="A144" s="53" t="s">
        <v>54</v>
      </c>
      <c r="B144" s="54">
        <f t="shared" si="26"/>
        <v>141</v>
      </c>
      <c r="C144" s="53" t="s">
        <v>27</v>
      </c>
      <c r="D144" s="53" t="s">
        <v>31</v>
      </c>
      <c r="E144" s="59">
        <f>VLOOKUP('Menu and cost - USA by city'!D144,'Menu and cost - Russia'!$D$4:$P$29,2,FALSE)*(VLOOKUP('Menu and cost - USA by city'!A144,COGS!$B$3:$I$10,8,FALSE)/3)*0.4</f>
        <v>3.2</v>
      </c>
      <c r="F144" s="59">
        <f>SUMPRODUCT(H144:L144,'Mean order price'!$C$8:$G$8)*G144+P144*'Mean order price'!$H$8</f>
        <v>2.7061999999999999</v>
      </c>
      <c r="G144" s="53">
        <v>0.2</v>
      </c>
      <c r="H144" s="60">
        <v>0.2</v>
      </c>
      <c r="I144" s="60">
        <v>0.4</v>
      </c>
      <c r="J144" s="60">
        <v>0.25</v>
      </c>
      <c r="K144" s="60">
        <v>0.05</v>
      </c>
      <c r="L144" s="60">
        <v>0.1</v>
      </c>
      <c r="M144" s="60">
        <f t="shared" si="27"/>
        <v>1.0000000000000002</v>
      </c>
      <c r="N144" s="61">
        <v>10</v>
      </c>
      <c r="O144" s="62">
        <f t="shared" si="28"/>
        <v>6</v>
      </c>
      <c r="P144" s="62">
        <f t="shared" si="29"/>
        <v>0.1</v>
      </c>
      <c r="Q144" s="65">
        <f t="shared" si="24"/>
        <v>0.49380000000000024</v>
      </c>
      <c r="R144" s="66">
        <f>Таблица1[[#This Row],[Profit]]/Таблица1[[#This Row],[Price]]</f>
        <v>0.15431250000000007</v>
      </c>
      <c r="S144" s="60">
        <f>VLOOKUP($A144,'Order Composition'!$B$2:$F$10,MATCH($C144,'Order Composition'!$B$2:$F$2,0),0)</f>
        <v>0.6</v>
      </c>
      <c r="T144" s="65">
        <f t="shared" si="25"/>
        <v>0.29628000000000015</v>
      </c>
      <c r="U144" s="65">
        <f>Таблица1[[#This Row],[Price]]*Таблица1[[#This Row],[Order]]</f>
        <v>1.92</v>
      </c>
      <c r="V144" s="65">
        <f>Таблица1[[#This Row],[Cost(with labour)]]*Таблица1[[#This Row],[Order]]</f>
        <v>1.6237199999999998</v>
      </c>
      <c r="W144" s="67">
        <f>VLOOKUP($A144,'Mean order price'!$B$2:$H$10,7,0)</f>
        <v>8</v>
      </c>
      <c r="X144" s="68">
        <f t="shared" si="23"/>
        <v>0.8</v>
      </c>
    </row>
    <row r="145" spans="1:24">
      <c r="A145" s="53" t="s">
        <v>54</v>
      </c>
      <c r="B145" s="54">
        <f t="shared" si="26"/>
        <v>142</v>
      </c>
      <c r="C145" s="53" t="s">
        <v>27</v>
      </c>
      <c r="D145" s="53" t="s">
        <v>32</v>
      </c>
      <c r="E145" s="59">
        <f>VLOOKUP('Menu and cost - USA by city'!D145,'Menu and cost - Russia'!$D$4:$P$29,2,FALSE)*(VLOOKUP('Menu and cost - USA by city'!A145,COGS!$B$3:$I$10,8,FALSE)/3)*0.4</f>
        <v>4.2666666666666666</v>
      </c>
      <c r="F145" s="59">
        <f>SUMPRODUCT(H145:L145,'Mean order price'!$C$8:$G$8)*G145+P145*'Mean order price'!$H$8</f>
        <v>3.8170999999999999</v>
      </c>
      <c r="G145" s="53">
        <v>0.3</v>
      </c>
      <c r="H145" s="60">
        <v>0.2</v>
      </c>
      <c r="I145" s="60">
        <v>0.6</v>
      </c>
      <c r="J145" s="60">
        <v>0.05</v>
      </c>
      <c r="K145" s="60">
        <v>0.05</v>
      </c>
      <c r="L145" s="60">
        <v>0.1</v>
      </c>
      <c r="M145" s="60">
        <f t="shared" si="27"/>
        <v>1.0000000000000002</v>
      </c>
      <c r="N145" s="61">
        <v>10</v>
      </c>
      <c r="O145" s="62">
        <f t="shared" si="28"/>
        <v>6</v>
      </c>
      <c r="P145" s="62">
        <f t="shared" si="29"/>
        <v>0.1</v>
      </c>
      <c r="Q145" s="65">
        <f t="shared" si="24"/>
        <v>0.44956666666666667</v>
      </c>
      <c r="R145" s="66">
        <f>Таблица1[[#This Row],[Profit]]/Таблица1[[#This Row],[Price]]</f>
        <v>0.1053671875</v>
      </c>
      <c r="S145" s="60">
        <f>VLOOKUP($A145,'Order Composition'!$B$2:$F$10,MATCH($C145,'Order Composition'!$B$2:$F$2,0),0)</f>
        <v>0.6</v>
      </c>
      <c r="T145" s="65">
        <f t="shared" si="25"/>
        <v>0.26973999999999998</v>
      </c>
      <c r="U145" s="65">
        <f>Таблица1[[#This Row],[Price]]*Таблица1[[#This Row],[Order]]</f>
        <v>2.56</v>
      </c>
      <c r="V145" s="65">
        <f>Таблица1[[#This Row],[Cost(with labour)]]*Таблица1[[#This Row],[Order]]</f>
        <v>2.29026</v>
      </c>
      <c r="W145" s="67">
        <f>VLOOKUP($A145,'Mean order price'!$B$2:$H$10,7,0)</f>
        <v>8</v>
      </c>
      <c r="X145" s="68">
        <f t="shared" si="23"/>
        <v>0.8</v>
      </c>
    </row>
    <row r="146" spans="1:24">
      <c r="A146" s="53" t="s">
        <v>54</v>
      </c>
      <c r="B146" s="54">
        <f t="shared" si="26"/>
        <v>143</v>
      </c>
      <c r="C146" s="53" t="s">
        <v>27</v>
      </c>
      <c r="D146" s="53" t="s">
        <v>33</v>
      </c>
      <c r="E146" s="59">
        <f>VLOOKUP('Menu and cost - USA by city'!D146,'Menu and cost - Russia'!$D$4:$P$29,2,FALSE)*(VLOOKUP('Menu and cost - USA by city'!A146,COGS!$B$3:$I$10,8,FALSE)/3)*0.4</f>
        <v>4.2666666666666666</v>
      </c>
      <c r="F146" s="59">
        <f>SUMPRODUCT(H146:L146,'Mean order price'!$C$8:$G$8)*G146+P146*'Mean order price'!$H$8</f>
        <v>3.7382</v>
      </c>
      <c r="G146" s="53">
        <v>0.3</v>
      </c>
      <c r="H146" s="60">
        <v>0.2</v>
      </c>
      <c r="I146" s="60">
        <v>0.5</v>
      </c>
      <c r="J146" s="60">
        <v>0.15</v>
      </c>
      <c r="K146" s="60">
        <v>0.05</v>
      </c>
      <c r="L146" s="60">
        <v>0.1</v>
      </c>
      <c r="M146" s="60">
        <f t="shared" si="27"/>
        <v>1</v>
      </c>
      <c r="N146" s="61">
        <v>10</v>
      </c>
      <c r="O146" s="62">
        <f t="shared" si="28"/>
        <v>6</v>
      </c>
      <c r="P146" s="62">
        <f t="shared" si="29"/>
        <v>0.1</v>
      </c>
      <c r="Q146" s="65">
        <f t="shared" si="24"/>
        <v>0.52846666666666664</v>
      </c>
      <c r="R146" s="66">
        <f>Таблица1[[#This Row],[Profit]]/Таблица1[[#This Row],[Price]]</f>
        <v>0.12385937499999999</v>
      </c>
      <c r="S146" s="60">
        <f>VLOOKUP($A146,'Order Composition'!$B$2:$F$10,MATCH($C146,'Order Composition'!$B$2:$F$2,0),0)</f>
        <v>0.6</v>
      </c>
      <c r="T146" s="65">
        <f t="shared" si="25"/>
        <v>0.31707999999999997</v>
      </c>
      <c r="U146" s="65">
        <f>Таблица1[[#This Row],[Price]]*Таблица1[[#This Row],[Order]]</f>
        <v>2.56</v>
      </c>
      <c r="V146" s="65">
        <f>Таблица1[[#This Row],[Cost(with labour)]]*Таблица1[[#This Row],[Order]]</f>
        <v>2.2429199999999998</v>
      </c>
      <c r="W146" s="67">
        <f>VLOOKUP($A146,'Mean order price'!$B$2:$H$10,7,0)</f>
        <v>8</v>
      </c>
      <c r="X146" s="68">
        <f t="shared" si="23"/>
        <v>0.8</v>
      </c>
    </row>
    <row r="147" spans="1:24">
      <c r="A147" s="53" t="s">
        <v>54</v>
      </c>
      <c r="B147" s="54">
        <f t="shared" si="26"/>
        <v>144</v>
      </c>
      <c r="C147" s="53" t="s">
        <v>27</v>
      </c>
      <c r="D147" s="53" t="s">
        <v>34</v>
      </c>
      <c r="E147" s="59">
        <f>VLOOKUP('Menu and cost - USA by city'!D147,'Menu and cost - Russia'!$D$4:$P$29,2,FALSE)*(VLOOKUP('Menu and cost - USA by city'!A147,COGS!$B$3:$I$10,8,FALSE)/3)*0.4</f>
        <v>3.2</v>
      </c>
      <c r="F147" s="59">
        <f>SUMPRODUCT(H147:L147,'Mean order price'!$C$8:$G$8)*G147+P147*'Mean order price'!$H$8</f>
        <v>2.3279333333333336</v>
      </c>
      <c r="G147" s="53">
        <v>0.2</v>
      </c>
      <c r="H147" s="60">
        <v>0.1</v>
      </c>
      <c r="I147" s="60">
        <v>0</v>
      </c>
      <c r="J147" s="60">
        <v>0.75</v>
      </c>
      <c r="K147" s="60">
        <v>0.05</v>
      </c>
      <c r="L147" s="60">
        <v>0.1</v>
      </c>
      <c r="M147" s="60">
        <f t="shared" si="27"/>
        <v>1</v>
      </c>
      <c r="N147" s="61">
        <v>15</v>
      </c>
      <c r="O147" s="62">
        <f t="shared" si="28"/>
        <v>4</v>
      </c>
      <c r="P147" s="62">
        <f t="shared" si="29"/>
        <v>6.6666666666666666E-2</v>
      </c>
      <c r="Q147" s="65">
        <f t="shared" si="24"/>
        <v>0.87206666666666655</v>
      </c>
      <c r="R147" s="66">
        <f>Таблица1[[#This Row],[Profit]]/Таблица1[[#This Row],[Price]]</f>
        <v>0.27252083333333327</v>
      </c>
      <c r="S147" s="60">
        <f>VLOOKUP($A147,'Order Composition'!$B$2:$F$10,MATCH($C147,'Order Composition'!$B$2:$F$2,0),0)</f>
        <v>0.6</v>
      </c>
      <c r="T147" s="65">
        <f t="shared" si="25"/>
        <v>0.52323999999999993</v>
      </c>
      <c r="U147" s="65">
        <f>Таблица1[[#This Row],[Price]]*Таблица1[[#This Row],[Order]]</f>
        <v>1.92</v>
      </c>
      <c r="V147" s="65">
        <f>Таблица1[[#This Row],[Cost(with labour)]]*Таблица1[[#This Row],[Order]]</f>
        <v>1.3967600000000002</v>
      </c>
      <c r="W147" s="67">
        <f>VLOOKUP($A147,'Mean order price'!$B$2:$H$10,7,0)</f>
        <v>8</v>
      </c>
      <c r="X147" s="68">
        <f t="shared" si="23"/>
        <v>0.53333333333333333</v>
      </c>
    </row>
    <row r="148" spans="1:24">
      <c r="A148" s="53" t="s">
        <v>54</v>
      </c>
      <c r="B148" s="54">
        <f t="shared" si="26"/>
        <v>145</v>
      </c>
      <c r="C148" s="53" t="s">
        <v>27</v>
      </c>
      <c r="D148" s="53" t="s">
        <v>35</v>
      </c>
      <c r="E148" s="59">
        <f>VLOOKUP('Menu and cost - USA by city'!D148,'Menu and cost - Russia'!$D$4:$P$29,2,FALSE)*(VLOOKUP('Menu and cost - USA by city'!A148,COGS!$B$3:$I$10,8,FALSE)/3)*0.4</f>
        <v>3.2</v>
      </c>
      <c r="F148" s="59">
        <f>SUMPRODUCT(H148:L148,'Mean order price'!$C$8:$G$8)*G148+P148*'Mean order price'!$H$8</f>
        <v>2.2291333333333334</v>
      </c>
      <c r="G148" s="53">
        <v>0.2</v>
      </c>
      <c r="H148" s="60">
        <v>0.2</v>
      </c>
      <c r="I148" s="60">
        <v>0</v>
      </c>
      <c r="J148" s="60">
        <v>0.65</v>
      </c>
      <c r="K148" s="60">
        <v>0.05</v>
      </c>
      <c r="L148" s="60">
        <v>0.1</v>
      </c>
      <c r="M148" s="60">
        <f t="shared" si="27"/>
        <v>1.0000000000000002</v>
      </c>
      <c r="N148" s="61">
        <v>15</v>
      </c>
      <c r="O148" s="62">
        <f t="shared" si="28"/>
        <v>4</v>
      </c>
      <c r="P148" s="62">
        <f t="shared" si="29"/>
        <v>6.6666666666666666E-2</v>
      </c>
      <c r="Q148" s="65">
        <f t="shared" si="24"/>
        <v>0.97086666666666677</v>
      </c>
      <c r="R148" s="66">
        <f>Таблица1[[#This Row],[Profit]]/Таблица1[[#This Row],[Price]]</f>
        <v>0.30339583333333336</v>
      </c>
      <c r="S148" s="60">
        <f>VLOOKUP($A148,'Order Composition'!$B$2:$F$10,MATCH($C148,'Order Composition'!$B$2:$F$2,0),0)</f>
        <v>0.6</v>
      </c>
      <c r="T148" s="65">
        <f t="shared" si="25"/>
        <v>0.58252000000000004</v>
      </c>
      <c r="U148" s="65">
        <f>Таблица1[[#This Row],[Price]]*Таблица1[[#This Row],[Order]]</f>
        <v>1.92</v>
      </c>
      <c r="V148" s="65">
        <f>Таблица1[[#This Row],[Cost(with labour)]]*Таблица1[[#This Row],[Order]]</f>
        <v>1.33748</v>
      </c>
      <c r="W148" s="67">
        <f>VLOOKUP($A148,'Mean order price'!$B$2:$H$10,7,0)</f>
        <v>8</v>
      </c>
      <c r="X148" s="68">
        <f t="shared" si="23"/>
        <v>0.53333333333333333</v>
      </c>
    </row>
    <row r="149" spans="1:24">
      <c r="A149" s="53" t="s">
        <v>54</v>
      </c>
      <c r="B149" s="54">
        <f t="shared" si="26"/>
        <v>146</v>
      </c>
      <c r="C149" s="53" t="s">
        <v>27</v>
      </c>
      <c r="D149" s="53" t="s">
        <v>36</v>
      </c>
      <c r="E149" s="59">
        <f>VLOOKUP('Menu and cost - USA by city'!D149,'Menu and cost - Russia'!$D$4:$P$29,2,FALSE)*(VLOOKUP('Menu and cost - USA by city'!A149,COGS!$B$3:$I$10,8,FALSE)/3)*0.4</f>
        <v>5.333333333333333</v>
      </c>
      <c r="F149" s="59">
        <f>SUMPRODUCT(H149:L149,'Mean order price'!$C$8:$G$8)*G149+P149*'Mean order price'!$H$8</f>
        <v>3.7895000000000003</v>
      </c>
      <c r="G149" s="53">
        <v>0.3</v>
      </c>
      <c r="H149" s="60">
        <v>0</v>
      </c>
      <c r="I149" s="60">
        <v>0.5</v>
      </c>
      <c r="J149" s="60">
        <v>0.2</v>
      </c>
      <c r="K149" s="60">
        <v>0</v>
      </c>
      <c r="L149" s="60">
        <v>0.3</v>
      </c>
      <c r="M149" s="60">
        <f t="shared" si="27"/>
        <v>1</v>
      </c>
      <c r="N149" s="61">
        <v>10</v>
      </c>
      <c r="O149" s="62">
        <f t="shared" si="28"/>
        <v>6</v>
      </c>
      <c r="P149" s="62">
        <f t="shared" si="29"/>
        <v>0.1</v>
      </c>
      <c r="Q149" s="65">
        <f t="shared" si="24"/>
        <v>1.5438333333333327</v>
      </c>
      <c r="R149" s="66">
        <f>Таблица1[[#This Row],[Profit]]/Таблица1[[#This Row],[Price]]</f>
        <v>0.28946874999999989</v>
      </c>
      <c r="S149" s="60">
        <f>VLOOKUP($A149,'Order Composition'!$B$2:$F$10,MATCH($C149,'Order Composition'!$B$2:$F$2,0),0)</f>
        <v>0.6</v>
      </c>
      <c r="T149" s="65">
        <f t="shared" si="25"/>
        <v>0.92629999999999957</v>
      </c>
      <c r="U149" s="65">
        <f>Таблица1[[#This Row],[Price]]*Таблица1[[#This Row],[Order]]</f>
        <v>3.1999999999999997</v>
      </c>
      <c r="V149" s="65">
        <f>Таблица1[[#This Row],[Cost(with labour)]]*Таблица1[[#This Row],[Order]]</f>
        <v>2.2737000000000003</v>
      </c>
      <c r="W149" s="67">
        <f>VLOOKUP($A149,'Mean order price'!$B$2:$H$10,7,0)</f>
        <v>8</v>
      </c>
      <c r="X149" s="68">
        <f t="shared" si="23"/>
        <v>0.8</v>
      </c>
    </row>
    <row r="150" spans="1:24">
      <c r="A150" s="53" t="s">
        <v>54</v>
      </c>
      <c r="B150" s="54">
        <f t="shared" si="26"/>
        <v>147</v>
      </c>
      <c r="C150" s="53" t="s">
        <v>27</v>
      </c>
      <c r="D150" s="53" t="s">
        <v>37</v>
      </c>
      <c r="E150" s="59">
        <f>VLOOKUP('Menu and cost - USA by city'!D150,'Menu and cost - Russia'!$D$4:$P$29,2,FALSE)*(VLOOKUP('Menu and cost - USA by city'!A150,COGS!$B$3:$I$10,8,FALSE)/3)*0.4</f>
        <v>5.333333333333333</v>
      </c>
      <c r="F150" s="59">
        <f>SUMPRODUCT(H150:L150,'Mean order price'!$C$8:$G$8)*G150+P150*'Mean order price'!$H$8</f>
        <v>3.8063000000000002</v>
      </c>
      <c r="G150" s="53">
        <v>0.3</v>
      </c>
      <c r="H150" s="60">
        <v>0.1</v>
      </c>
      <c r="I150" s="60">
        <v>0.5</v>
      </c>
      <c r="J150" s="60">
        <v>0.2</v>
      </c>
      <c r="K150" s="60">
        <v>0</v>
      </c>
      <c r="L150" s="60">
        <v>0.2</v>
      </c>
      <c r="M150" s="60">
        <f t="shared" si="27"/>
        <v>1</v>
      </c>
      <c r="N150" s="61">
        <v>10</v>
      </c>
      <c r="O150" s="62">
        <f t="shared" si="28"/>
        <v>6</v>
      </c>
      <c r="P150" s="62">
        <f t="shared" si="29"/>
        <v>0.1</v>
      </c>
      <c r="Q150" s="65">
        <f t="shared" si="24"/>
        <v>1.5270333333333328</v>
      </c>
      <c r="R150" s="66">
        <f>Таблица1[[#This Row],[Profit]]/Таблица1[[#This Row],[Price]]</f>
        <v>0.2863187499999999</v>
      </c>
      <c r="S150" s="60">
        <f>VLOOKUP($A150,'Order Composition'!$B$2:$F$10,MATCH($C150,'Order Composition'!$B$2:$F$2,0),0)</f>
        <v>0.6</v>
      </c>
      <c r="T150" s="65">
        <f t="shared" si="25"/>
        <v>0.91621999999999959</v>
      </c>
      <c r="U150" s="65">
        <f>Таблица1[[#This Row],[Price]]*Таблица1[[#This Row],[Order]]</f>
        <v>3.1999999999999997</v>
      </c>
      <c r="V150" s="65">
        <f>Таблица1[[#This Row],[Cost(with labour)]]*Таблица1[[#This Row],[Order]]</f>
        <v>2.2837800000000001</v>
      </c>
      <c r="W150" s="67">
        <f>VLOOKUP($A150,'Mean order price'!$B$2:$H$10,7,0)</f>
        <v>8</v>
      </c>
      <c r="X150" s="68">
        <f t="shared" si="23"/>
        <v>0.8</v>
      </c>
    </row>
    <row r="151" spans="1:24">
      <c r="A151" s="53" t="s">
        <v>54</v>
      </c>
      <c r="B151" s="54">
        <f t="shared" si="26"/>
        <v>148</v>
      </c>
      <c r="C151" s="53" t="s">
        <v>38</v>
      </c>
      <c r="D151" s="53" t="s">
        <v>39</v>
      </c>
      <c r="E151" s="59">
        <f>VLOOKUP('Menu and cost - USA by city'!D151,'Menu and cost - Russia'!$D$4:$P$29,2,FALSE)*(VLOOKUP('Menu and cost - USA by city'!A151,COGS!$B$3:$I$10,8,FALSE)/3)*0.4</f>
        <v>3.2</v>
      </c>
      <c r="F151" s="59">
        <f>SUMPRODUCT(H151:L151,'Mean order price'!$C$8:$G$8)*G151+P151*'Mean order price'!$H$8</f>
        <v>1.5493000000000001</v>
      </c>
      <c r="G151" s="53">
        <v>0.15</v>
      </c>
      <c r="H151" s="60">
        <v>0.2</v>
      </c>
      <c r="I151" s="60">
        <v>0</v>
      </c>
      <c r="J151" s="60">
        <v>0.5</v>
      </c>
      <c r="K151" s="60">
        <v>0</v>
      </c>
      <c r="L151" s="60">
        <v>0.3</v>
      </c>
      <c r="M151" s="60">
        <f t="shared" si="27"/>
        <v>1</v>
      </c>
      <c r="N151" s="61">
        <v>20</v>
      </c>
      <c r="O151" s="62">
        <f t="shared" si="28"/>
        <v>3</v>
      </c>
      <c r="P151" s="62">
        <f t="shared" si="29"/>
        <v>0.05</v>
      </c>
      <c r="Q151" s="65">
        <f t="shared" si="24"/>
        <v>1.6507000000000001</v>
      </c>
      <c r="R151" s="66">
        <f>Таблица1[[#This Row],[Profit]]/Таблица1[[#This Row],[Price]]</f>
        <v>0.51584374999999993</v>
      </c>
      <c r="S151" s="60">
        <f>VLOOKUP($A151,'Order Composition'!$B$2:$F$10,MATCH($C151,'Order Composition'!$B$2:$F$2,0),0)</f>
        <v>0.65</v>
      </c>
      <c r="T151" s="65">
        <f t="shared" si="25"/>
        <v>1.0729550000000001</v>
      </c>
      <c r="U151" s="65">
        <f>Таблица1[[#This Row],[Price]]*Таблица1[[#This Row],[Order]]</f>
        <v>2.08</v>
      </c>
      <c r="V151" s="65">
        <f>Таблица1[[#This Row],[Cost(with labour)]]*Таблица1[[#This Row],[Order]]</f>
        <v>1.0070450000000002</v>
      </c>
      <c r="W151" s="67">
        <f>VLOOKUP($A151,'Mean order price'!$B$2:$H$10,7,0)</f>
        <v>8</v>
      </c>
      <c r="X151" s="68">
        <f t="shared" si="23"/>
        <v>0.4</v>
      </c>
    </row>
    <row r="152" spans="1:24">
      <c r="A152" s="53" t="s">
        <v>54</v>
      </c>
      <c r="B152" s="54">
        <f t="shared" si="26"/>
        <v>149</v>
      </c>
      <c r="C152" s="53" t="s">
        <v>38</v>
      </c>
      <c r="D152" s="53" t="s">
        <v>40</v>
      </c>
      <c r="E152" s="59">
        <f>VLOOKUP('Menu and cost - USA by city'!D152,'Menu and cost - Russia'!$D$4:$P$29,2,FALSE)*(VLOOKUP('Menu and cost - USA by city'!A152,COGS!$B$3:$I$10,8,FALSE)/3)*0.4</f>
        <v>3.2</v>
      </c>
      <c r="F152" s="59">
        <f>SUMPRODUCT(H152:L152,'Mean order price'!$C$8:$G$8)*G152+P152*'Mean order price'!$H$8</f>
        <v>1.5493000000000001</v>
      </c>
      <c r="G152" s="53">
        <v>0.15</v>
      </c>
      <c r="H152" s="60">
        <v>0.2</v>
      </c>
      <c r="I152" s="60">
        <v>0</v>
      </c>
      <c r="J152" s="60">
        <v>0.5</v>
      </c>
      <c r="K152" s="60">
        <v>0</v>
      </c>
      <c r="L152" s="60">
        <v>0.3</v>
      </c>
      <c r="M152" s="60">
        <f t="shared" si="27"/>
        <v>1</v>
      </c>
      <c r="N152" s="61">
        <v>20</v>
      </c>
      <c r="O152" s="62">
        <f t="shared" si="28"/>
        <v>3</v>
      </c>
      <c r="P152" s="62">
        <f t="shared" si="29"/>
        <v>0.05</v>
      </c>
      <c r="Q152" s="65">
        <f t="shared" si="24"/>
        <v>1.6507000000000001</v>
      </c>
      <c r="R152" s="66">
        <f>Таблица1[[#This Row],[Profit]]/Таблица1[[#This Row],[Price]]</f>
        <v>0.51584374999999993</v>
      </c>
      <c r="S152" s="60">
        <f>VLOOKUP($A152,'Order Composition'!$B$2:$F$10,MATCH($C152,'Order Composition'!$B$2:$F$2,0),0)</f>
        <v>0.65</v>
      </c>
      <c r="T152" s="65">
        <f t="shared" si="25"/>
        <v>1.0729550000000001</v>
      </c>
      <c r="U152" s="65">
        <f>Таблица1[[#This Row],[Price]]*Таблица1[[#This Row],[Order]]</f>
        <v>2.08</v>
      </c>
      <c r="V152" s="65">
        <f>Таблица1[[#This Row],[Cost(with labour)]]*Таблица1[[#This Row],[Order]]</f>
        <v>1.0070450000000002</v>
      </c>
      <c r="W152" s="67">
        <f>VLOOKUP($A152,'Mean order price'!$B$2:$H$10,7,0)</f>
        <v>8</v>
      </c>
      <c r="X152" s="68">
        <f t="shared" si="23"/>
        <v>0.4</v>
      </c>
    </row>
    <row r="153" spans="1:24">
      <c r="A153" s="53" t="s">
        <v>54</v>
      </c>
      <c r="B153" s="54">
        <f t="shared" si="26"/>
        <v>150</v>
      </c>
      <c r="C153" s="53" t="s">
        <v>38</v>
      </c>
      <c r="D153" s="53" t="s">
        <v>41</v>
      </c>
      <c r="E153" s="59">
        <f>VLOOKUP('Menu and cost - USA by city'!D153,'Menu and cost - Russia'!$D$4:$P$29,2,FALSE)*(VLOOKUP('Menu and cost - USA by city'!A153,COGS!$B$3:$I$10,8,FALSE)/3)*0.4</f>
        <v>1.6</v>
      </c>
      <c r="F153" s="59">
        <f>SUMPRODUCT(H153:L153,'Mean order price'!$C$8:$G$8)*G153+P153*'Mean order price'!$H$8</f>
        <v>0.89953333333333341</v>
      </c>
      <c r="G153" s="53">
        <v>0.1</v>
      </c>
      <c r="H153" s="60">
        <v>0.2</v>
      </c>
      <c r="I153" s="60">
        <v>0</v>
      </c>
      <c r="J153" s="60">
        <v>0.5</v>
      </c>
      <c r="K153" s="60">
        <v>0</v>
      </c>
      <c r="L153" s="60">
        <v>0.3</v>
      </c>
      <c r="M153" s="60">
        <f t="shared" si="27"/>
        <v>1</v>
      </c>
      <c r="N153" s="61">
        <v>60</v>
      </c>
      <c r="O153" s="62">
        <f t="shared" si="28"/>
        <v>1</v>
      </c>
      <c r="P153" s="62">
        <f t="shared" si="29"/>
        <v>1.6666666666666666E-2</v>
      </c>
      <c r="Q153" s="65">
        <f t="shared" si="24"/>
        <v>0.70046666666666668</v>
      </c>
      <c r="R153" s="66">
        <f>Таблица1[[#This Row],[Profit]]/Таблица1[[#This Row],[Price]]</f>
        <v>0.43779166666666663</v>
      </c>
      <c r="S153" s="60">
        <f>VLOOKUP($A153,'Order Composition'!$B$2:$F$10,MATCH($C153,'Order Composition'!$B$2:$F$2,0),0)</f>
        <v>0.65</v>
      </c>
      <c r="T153" s="65">
        <f t="shared" si="25"/>
        <v>0.45530333333333334</v>
      </c>
      <c r="U153" s="65">
        <f>Таблица1[[#This Row],[Price]]*Таблица1[[#This Row],[Order]]</f>
        <v>1.04</v>
      </c>
      <c r="V153" s="65">
        <f>Таблица1[[#This Row],[Cost(with labour)]]*Таблица1[[#This Row],[Order]]</f>
        <v>0.58469666666666675</v>
      </c>
      <c r="W153" s="67">
        <f>VLOOKUP($A153,'Mean order price'!$B$2:$H$10,7,0)</f>
        <v>8</v>
      </c>
      <c r="X153" s="68">
        <f t="shared" si="23"/>
        <v>0.13333333333333333</v>
      </c>
    </row>
    <row r="154" spans="1:24">
      <c r="A154" s="53" t="s">
        <v>54</v>
      </c>
      <c r="B154" s="54">
        <f t="shared" si="26"/>
        <v>151</v>
      </c>
      <c r="C154" s="53" t="s">
        <v>11</v>
      </c>
      <c r="D154" s="53" t="s">
        <v>42</v>
      </c>
      <c r="E154" s="59">
        <f>VLOOKUP('Menu and cost - USA by city'!D154,'Menu and cost - Russia'!$D$4:$P$29,2,FALSE)*(VLOOKUP('Menu and cost - USA by city'!A154,COGS!$B$3:$I$10,8,FALSE)/3)*0.4</f>
        <v>1.6</v>
      </c>
      <c r="F154" s="59">
        <f>SUMPRODUCT(H154:L154,'Mean order price'!$C$8:$G$8)*G154+P154*'Mean order price'!$H$8</f>
        <v>0.99466666666666659</v>
      </c>
      <c r="G154" s="53">
        <v>0.2</v>
      </c>
      <c r="H154" s="60">
        <v>0</v>
      </c>
      <c r="I154" s="60">
        <v>0</v>
      </c>
      <c r="J154" s="60">
        <v>0</v>
      </c>
      <c r="K154" s="60">
        <v>1</v>
      </c>
      <c r="L154" s="60">
        <v>0</v>
      </c>
      <c r="M154" s="60">
        <f t="shared" si="27"/>
        <v>1</v>
      </c>
      <c r="N154" s="61">
        <v>120</v>
      </c>
      <c r="O154" s="62">
        <f t="shared" si="28"/>
        <v>0.5</v>
      </c>
      <c r="P154" s="62">
        <f t="shared" si="29"/>
        <v>8.3333333333333332E-3</v>
      </c>
      <c r="Q154" s="65">
        <f t="shared" si="24"/>
        <v>0.6053333333333335</v>
      </c>
      <c r="R154" s="66">
        <f>Таблица1[[#This Row],[Profit]]/Таблица1[[#This Row],[Price]]</f>
        <v>0.37833333333333341</v>
      </c>
      <c r="S154" s="60">
        <f>VLOOKUP($A154,'Order Composition'!$B$2:$F$10,MATCH($C154,'Order Composition'!$B$2:$F$2,0),0)</f>
        <v>0.8</v>
      </c>
      <c r="T154" s="65">
        <f t="shared" si="25"/>
        <v>0.48426666666666685</v>
      </c>
      <c r="U154" s="65">
        <f>Таблица1[[#This Row],[Price]]*Таблица1[[#This Row],[Order]]</f>
        <v>1.2800000000000002</v>
      </c>
      <c r="V154" s="65">
        <f>Таблица1[[#This Row],[Cost(with labour)]]*Таблица1[[#This Row],[Order]]</f>
        <v>0.79573333333333329</v>
      </c>
      <c r="W154" s="67">
        <f>VLOOKUP($A154,'Mean order price'!$B$2:$H$10,7,0)</f>
        <v>8</v>
      </c>
      <c r="X154" s="68">
        <f t="shared" si="23"/>
        <v>6.6666666666666666E-2</v>
      </c>
    </row>
    <row r="155" spans="1:24">
      <c r="A155" s="53" t="s">
        <v>54</v>
      </c>
      <c r="B155" s="54">
        <f t="shared" si="26"/>
        <v>152</v>
      </c>
      <c r="C155" s="53" t="s">
        <v>11</v>
      </c>
      <c r="D155" s="53" t="s">
        <v>43</v>
      </c>
      <c r="E155" s="59">
        <f>VLOOKUP('Menu and cost - USA by city'!D155,'Menu and cost - Russia'!$D$4:$P$29,2,FALSE)*(VLOOKUP('Menu and cost - USA by city'!A155,COGS!$B$3:$I$10,8,FALSE)/3)*0.4</f>
        <v>1.6</v>
      </c>
      <c r="F155" s="59">
        <f>SUMPRODUCT(H155:L155,'Mean order price'!$C$8:$G$8)*G155+P155*'Mean order price'!$H$8</f>
        <v>0.99466666666666659</v>
      </c>
      <c r="G155" s="53">
        <v>0.2</v>
      </c>
      <c r="H155" s="60">
        <v>0</v>
      </c>
      <c r="I155" s="60">
        <v>0</v>
      </c>
      <c r="J155" s="60">
        <v>0</v>
      </c>
      <c r="K155" s="60">
        <v>1</v>
      </c>
      <c r="L155" s="60">
        <v>0</v>
      </c>
      <c r="M155" s="60">
        <f t="shared" si="27"/>
        <v>1</v>
      </c>
      <c r="N155" s="61">
        <v>120</v>
      </c>
      <c r="O155" s="62">
        <f t="shared" si="28"/>
        <v>0.5</v>
      </c>
      <c r="P155" s="62">
        <f t="shared" si="29"/>
        <v>8.3333333333333332E-3</v>
      </c>
      <c r="Q155" s="65">
        <f t="shared" si="24"/>
        <v>0.6053333333333335</v>
      </c>
      <c r="R155" s="66">
        <f>Таблица1[[#This Row],[Profit]]/Таблица1[[#This Row],[Price]]</f>
        <v>0.37833333333333341</v>
      </c>
      <c r="S155" s="60">
        <f>VLOOKUP($A155,'Order Composition'!$B$2:$F$10,MATCH($C155,'Order Composition'!$B$2:$F$2,0),0)</f>
        <v>0.8</v>
      </c>
      <c r="T155" s="65">
        <f t="shared" si="25"/>
        <v>0.48426666666666685</v>
      </c>
      <c r="U155" s="65">
        <f>Таблица1[[#This Row],[Price]]*Таблица1[[#This Row],[Order]]</f>
        <v>1.2800000000000002</v>
      </c>
      <c r="V155" s="65">
        <f>Таблица1[[#This Row],[Cost(with labour)]]*Таблица1[[#This Row],[Order]]</f>
        <v>0.79573333333333329</v>
      </c>
      <c r="W155" s="67">
        <f>VLOOKUP($A155,'Mean order price'!$B$2:$H$10,7,0)</f>
        <v>8</v>
      </c>
      <c r="X155" s="68">
        <f t="shared" si="23"/>
        <v>6.6666666666666666E-2</v>
      </c>
    </row>
    <row r="156" spans="1:24">
      <c r="A156" s="53" t="s">
        <v>54</v>
      </c>
      <c r="B156" s="54">
        <f t="shared" si="26"/>
        <v>153</v>
      </c>
      <c r="C156" s="53" t="s">
        <v>11</v>
      </c>
      <c r="D156" s="53" t="s">
        <v>44</v>
      </c>
      <c r="E156" s="59">
        <f>VLOOKUP('Menu and cost - USA by city'!D156,'Menu and cost - Russia'!$D$4:$P$29,2,FALSE)*(VLOOKUP('Menu and cost - USA by city'!A156,COGS!$B$3:$I$10,8,FALSE)/3)*0.4</f>
        <v>2.1333333333333333</v>
      </c>
      <c r="F156" s="59">
        <f>SUMPRODUCT(H156:L156,'Mean order price'!$C$8:$G$8)*G156+P156*'Mean order price'!$H$8</f>
        <v>1.2877333333333334</v>
      </c>
      <c r="G156" s="53">
        <v>0.2</v>
      </c>
      <c r="H156" s="60">
        <v>0</v>
      </c>
      <c r="I156" s="60">
        <v>0</v>
      </c>
      <c r="J156" s="60">
        <v>0.2</v>
      </c>
      <c r="K156" s="60">
        <v>0.8</v>
      </c>
      <c r="L156" s="60">
        <v>0</v>
      </c>
      <c r="M156" s="60">
        <f t="shared" si="27"/>
        <v>1</v>
      </c>
      <c r="N156" s="61">
        <v>60</v>
      </c>
      <c r="O156" s="62">
        <f t="shared" si="28"/>
        <v>1</v>
      </c>
      <c r="P156" s="62">
        <f t="shared" si="29"/>
        <v>1.6666666666666666E-2</v>
      </c>
      <c r="Q156" s="65">
        <f t="shared" si="24"/>
        <v>0.84559999999999991</v>
      </c>
      <c r="R156" s="66">
        <f>Таблица1[[#This Row],[Profit]]/Таблица1[[#This Row],[Price]]</f>
        <v>0.39637499999999998</v>
      </c>
      <c r="S156" s="60">
        <f>VLOOKUP($A156,'Order Composition'!$B$2:$F$10,MATCH($C156,'Order Composition'!$B$2:$F$2,0),0)</f>
        <v>0.8</v>
      </c>
      <c r="T156" s="65">
        <f t="shared" si="25"/>
        <v>0.67647999999999997</v>
      </c>
      <c r="U156" s="65">
        <f>Таблица1[[#This Row],[Price]]*Таблица1[[#This Row],[Order]]</f>
        <v>1.7066666666666668</v>
      </c>
      <c r="V156" s="65">
        <f>Таблица1[[#This Row],[Cost(with labour)]]*Таблица1[[#This Row],[Order]]</f>
        <v>1.0301866666666668</v>
      </c>
      <c r="W156" s="67">
        <f>VLOOKUP($A156,'Mean order price'!$B$2:$H$10,7,0)</f>
        <v>8</v>
      </c>
      <c r="X156" s="68">
        <f t="shared" si="23"/>
        <v>0.13333333333333333</v>
      </c>
    </row>
    <row r="157" spans="1:24">
      <c r="A157" s="53" t="s">
        <v>54</v>
      </c>
      <c r="B157" s="54">
        <f t="shared" si="26"/>
        <v>154</v>
      </c>
      <c r="C157" s="53" t="s">
        <v>11</v>
      </c>
      <c r="D157" s="53" t="s">
        <v>45</v>
      </c>
      <c r="E157" s="59">
        <f>VLOOKUP('Menu and cost - USA by city'!D157,'Menu and cost - Russia'!$D$4:$P$29,2,FALSE)*(VLOOKUP('Menu and cost - USA by city'!A157,COGS!$B$3:$I$10,8,FALSE)/3)*0.4</f>
        <v>2.1333333333333333</v>
      </c>
      <c r="F157" s="59">
        <f>SUMPRODUCT(H157:L157,'Mean order price'!$C$8:$G$8)*G157+P157*'Mean order price'!$H$8</f>
        <v>1.2877333333333334</v>
      </c>
      <c r="G157" s="53">
        <v>0.2</v>
      </c>
      <c r="H157" s="60">
        <v>0</v>
      </c>
      <c r="I157" s="60">
        <v>0</v>
      </c>
      <c r="J157" s="60">
        <v>0.2</v>
      </c>
      <c r="K157" s="60">
        <v>0.8</v>
      </c>
      <c r="L157" s="60">
        <v>0</v>
      </c>
      <c r="M157" s="60">
        <f t="shared" si="27"/>
        <v>1</v>
      </c>
      <c r="N157" s="61">
        <v>60</v>
      </c>
      <c r="O157" s="62">
        <f t="shared" si="28"/>
        <v>1</v>
      </c>
      <c r="P157" s="62">
        <f t="shared" si="29"/>
        <v>1.6666666666666666E-2</v>
      </c>
      <c r="Q157" s="65">
        <f t="shared" si="24"/>
        <v>0.84559999999999991</v>
      </c>
      <c r="R157" s="66">
        <f>Таблица1[[#This Row],[Profit]]/Таблица1[[#This Row],[Price]]</f>
        <v>0.39637499999999998</v>
      </c>
      <c r="S157" s="60">
        <f>VLOOKUP($A157,'Order Composition'!$B$2:$F$10,MATCH($C157,'Order Composition'!$B$2:$F$2,0),0)</f>
        <v>0.8</v>
      </c>
      <c r="T157" s="65">
        <f t="shared" si="25"/>
        <v>0.67647999999999997</v>
      </c>
      <c r="U157" s="65">
        <f>Таблица1[[#This Row],[Price]]*Таблица1[[#This Row],[Order]]</f>
        <v>1.7066666666666668</v>
      </c>
      <c r="V157" s="65">
        <f>Таблица1[[#This Row],[Cost(with labour)]]*Таблица1[[#This Row],[Order]]</f>
        <v>1.0301866666666668</v>
      </c>
      <c r="W157" s="67">
        <f>VLOOKUP($A157,'Mean order price'!$B$2:$H$10,7,0)</f>
        <v>8</v>
      </c>
      <c r="X157" s="68">
        <f t="shared" si="23"/>
        <v>0.13333333333333333</v>
      </c>
    </row>
    <row r="158" spans="1:24">
      <c r="A158" s="53" t="s">
        <v>54</v>
      </c>
      <c r="B158" s="54">
        <f t="shared" si="26"/>
        <v>155</v>
      </c>
      <c r="C158" s="53" t="s">
        <v>11</v>
      </c>
      <c r="D158" s="53" t="s">
        <v>46</v>
      </c>
      <c r="E158" s="59">
        <f>VLOOKUP('Menu and cost - USA by city'!D158,'Menu and cost - Russia'!$D$4:$P$29,2,FALSE)*(VLOOKUP('Menu and cost - USA by city'!A158,COGS!$B$3:$I$10,8,FALSE)/3)*0.4</f>
        <v>1.6</v>
      </c>
      <c r="F158" s="59">
        <f>SUMPRODUCT(H158:L158,'Mean order price'!$C$8:$G$8)*G158+P158*'Mean order price'!$H$8</f>
        <v>1.1279999999999999</v>
      </c>
      <c r="G158" s="53">
        <v>0.2</v>
      </c>
      <c r="H158" s="60">
        <v>0</v>
      </c>
      <c r="I158" s="60">
        <v>0</v>
      </c>
      <c r="J158" s="60">
        <v>0</v>
      </c>
      <c r="K158" s="60">
        <v>1</v>
      </c>
      <c r="L158" s="60">
        <v>0</v>
      </c>
      <c r="M158" s="60">
        <f t="shared" si="27"/>
        <v>1</v>
      </c>
      <c r="N158" s="61">
        <v>40</v>
      </c>
      <c r="O158" s="62">
        <f t="shared" si="28"/>
        <v>1.5</v>
      </c>
      <c r="P158" s="62">
        <f t="shared" si="29"/>
        <v>2.5000000000000001E-2</v>
      </c>
      <c r="Q158" s="65">
        <f t="shared" si="24"/>
        <v>0.4720000000000002</v>
      </c>
      <c r="R158" s="66">
        <f>Таблица1[[#This Row],[Profit]]/Таблица1[[#This Row],[Price]]</f>
        <v>0.2950000000000001</v>
      </c>
      <c r="S158" s="60">
        <f>VLOOKUP($A158,'Order Composition'!$B$2:$F$10,MATCH($C158,'Order Composition'!$B$2:$F$2,0),0)</f>
        <v>0.8</v>
      </c>
      <c r="T158" s="65">
        <f t="shared" si="25"/>
        <v>0.37760000000000016</v>
      </c>
      <c r="U158" s="65">
        <f>Таблица1[[#This Row],[Price]]*Таблица1[[#This Row],[Order]]</f>
        <v>1.2800000000000002</v>
      </c>
      <c r="V158" s="65">
        <f>Таблица1[[#This Row],[Cost(with labour)]]*Таблица1[[#This Row],[Order]]</f>
        <v>0.90239999999999998</v>
      </c>
      <c r="W158" s="67">
        <f>VLOOKUP($A158,'Mean order price'!$B$2:$H$10,7,0)</f>
        <v>8</v>
      </c>
      <c r="X158" s="68">
        <f t="shared" si="23"/>
        <v>0.2</v>
      </c>
    </row>
    <row r="159" spans="1:24">
      <c r="A159" s="53" t="s">
        <v>54</v>
      </c>
      <c r="B159" s="54">
        <f t="shared" si="26"/>
        <v>156</v>
      </c>
      <c r="C159" s="53" t="s">
        <v>11</v>
      </c>
      <c r="D159" s="53" t="s">
        <v>47</v>
      </c>
      <c r="E159" s="59">
        <f>VLOOKUP('Menu and cost - USA by city'!D159,'Menu and cost - Russia'!$D$4:$P$29,2,FALSE)*(VLOOKUP('Menu and cost - USA by city'!A159,COGS!$B$3:$I$10,8,FALSE)/3)*0.4</f>
        <v>1.6</v>
      </c>
      <c r="F159" s="59">
        <f>SUMPRODUCT(H159:L159,'Mean order price'!$C$8:$G$8)*G159+P159*'Mean order price'!$H$8</f>
        <v>1.2412000000000001</v>
      </c>
      <c r="G159" s="53">
        <v>0.2</v>
      </c>
      <c r="H159" s="60">
        <v>0</v>
      </c>
      <c r="I159" s="60">
        <v>0</v>
      </c>
      <c r="J159" s="60">
        <v>0.1</v>
      </c>
      <c r="K159" s="60">
        <v>0.9</v>
      </c>
      <c r="L159" s="60">
        <v>0</v>
      </c>
      <c r="M159" s="60">
        <f t="shared" si="27"/>
        <v>1</v>
      </c>
      <c r="N159" s="61">
        <v>40</v>
      </c>
      <c r="O159" s="62">
        <f t="shared" si="28"/>
        <v>1.5</v>
      </c>
      <c r="P159" s="62">
        <f t="shared" si="29"/>
        <v>2.5000000000000001E-2</v>
      </c>
      <c r="Q159" s="65">
        <f t="shared" si="24"/>
        <v>0.35880000000000001</v>
      </c>
      <c r="R159" s="66">
        <f>Таблица1[[#This Row],[Profit]]/Таблица1[[#This Row],[Price]]</f>
        <v>0.22425</v>
      </c>
      <c r="S159" s="60">
        <f>VLOOKUP($A159,'Order Composition'!$B$2:$F$10,MATCH($C159,'Order Composition'!$B$2:$F$2,0),0)</f>
        <v>0.8</v>
      </c>
      <c r="T159" s="65">
        <f t="shared" si="25"/>
        <v>0.28704000000000002</v>
      </c>
      <c r="U159" s="65">
        <f>Таблица1[[#This Row],[Price]]*Таблица1[[#This Row],[Order]]</f>
        <v>1.2800000000000002</v>
      </c>
      <c r="V159" s="65">
        <f>Таблица1[[#This Row],[Cost(with labour)]]*Таблица1[[#This Row],[Order]]</f>
        <v>0.99296000000000006</v>
      </c>
      <c r="W159" s="67">
        <f>VLOOKUP($A159,'Mean order price'!$B$2:$H$10,7,0)</f>
        <v>8</v>
      </c>
      <c r="X159" s="68">
        <f t="shared" si="23"/>
        <v>0.2</v>
      </c>
    </row>
    <row r="160" spans="1:24">
      <c r="A160" s="53" t="s">
        <v>55</v>
      </c>
      <c r="B160" s="54">
        <f t="shared" si="26"/>
        <v>157</v>
      </c>
      <c r="C160" s="53" t="s">
        <v>19</v>
      </c>
      <c r="D160" s="53" t="s">
        <v>20</v>
      </c>
      <c r="E160" s="59">
        <f>VLOOKUP('Menu and cost - USA by city'!D160,'Menu and cost - Russia'!$D$4:$P$29,2,FALSE)*(VLOOKUP('Menu and cost - USA by city'!A160,COGS!$B$3:$I$10,8,FALSE)/3)*0.4</f>
        <v>4</v>
      </c>
      <c r="F160" s="59">
        <f>SUMPRODUCT(H160:L160,'Mean order price'!$C$9:$G$9)*G160+P160*'Mean order price'!$H$9</f>
        <v>3.2600000000000002</v>
      </c>
      <c r="G160" s="53">
        <v>0.2</v>
      </c>
      <c r="H160" s="60">
        <v>0</v>
      </c>
      <c r="I160" s="60">
        <v>0</v>
      </c>
      <c r="J160" s="60">
        <v>0.9</v>
      </c>
      <c r="K160" s="60">
        <v>0</v>
      </c>
      <c r="L160" s="60">
        <v>0.1</v>
      </c>
      <c r="M160" s="60">
        <f t="shared" si="27"/>
        <v>1</v>
      </c>
      <c r="N160" s="61">
        <v>20</v>
      </c>
      <c r="O160" s="62">
        <f t="shared" si="28"/>
        <v>3</v>
      </c>
      <c r="P160" s="62">
        <f t="shared" si="29"/>
        <v>0.05</v>
      </c>
      <c r="Q160" s="65">
        <f t="shared" si="24"/>
        <v>0.73999999999999977</v>
      </c>
      <c r="R160" s="66">
        <f>Таблица1[[#This Row],[Profit]]/Таблица1[[#This Row],[Price]]</f>
        <v>0.18499999999999994</v>
      </c>
      <c r="S160" s="60">
        <f>VLOOKUP($A160,'Order Composition'!$B$2:$F$10,MATCH($C160,'Order Composition'!$B$2:$F$2,0),0)</f>
        <v>0.2</v>
      </c>
      <c r="T160" s="65">
        <f t="shared" si="25"/>
        <v>0.14799999999999996</v>
      </c>
      <c r="U160" s="65">
        <f>Таблица1[[#This Row],[Price]]*Таблица1[[#This Row],[Order]]</f>
        <v>0.8</v>
      </c>
      <c r="V160" s="65">
        <f>Таблица1[[#This Row],[Cost(with labour)]]*Таблица1[[#This Row],[Order]]</f>
        <v>0.65200000000000014</v>
      </c>
      <c r="W160" s="67">
        <f>VLOOKUP($A160,'Mean order price'!$B$2:$H$10,7,0)</f>
        <v>10</v>
      </c>
      <c r="X160" s="68">
        <f t="shared" si="23"/>
        <v>0.5</v>
      </c>
    </row>
    <row r="161" spans="1:24">
      <c r="A161" s="53" t="s">
        <v>55</v>
      </c>
      <c r="B161" s="54">
        <f t="shared" si="26"/>
        <v>158</v>
      </c>
      <c r="C161" s="53" t="s">
        <v>19</v>
      </c>
      <c r="D161" s="53" t="s">
        <v>21</v>
      </c>
      <c r="E161" s="59">
        <f>VLOOKUP('Menu and cost - USA by city'!D161,'Menu and cost - Russia'!$D$4:$P$29,2,FALSE)*(VLOOKUP('Menu and cost - USA by city'!A161,COGS!$B$3:$I$10,8,FALSE)/3)*0.4</f>
        <v>4</v>
      </c>
      <c r="F161" s="59">
        <f>SUMPRODUCT(H161:L161,'Mean order price'!$C$9:$G$9)*G161+P161*'Mean order price'!$H$9</f>
        <v>3.274</v>
      </c>
      <c r="G161" s="53">
        <v>0.2</v>
      </c>
      <c r="H161" s="60">
        <v>0</v>
      </c>
      <c r="I161" s="60">
        <v>0.2</v>
      </c>
      <c r="J161" s="60">
        <v>0.7</v>
      </c>
      <c r="K161" s="60">
        <v>0</v>
      </c>
      <c r="L161" s="60">
        <v>0.1</v>
      </c>
      <c r="M161" s="60">
        <f t="shared" ref="M161:M186" si="30">SUM(H161:L161)</f>
        <v>0.99999999999999989</v>
      </c>
      <c r="N161" s="61">
        <v>20</v>
      </c>
      <c r="O161" s="62">
        <f t="shared" ref="O161:O186" si="31">60/N161</f>
        <v>3</v>
      </c>
      <c r="P161" s="62">
        <f t="shared" ref="P161:P186" si="32">O161/60</f>
        <v>0.05</v>
      </c>
      <c r="Q161" s="65">
        <f t="shared" si="24"/>
        <v>0.72599999999999998</v>
      </c>
      <c r="R161" s="66">
        <f>Таблица1[[#This Row],[Profit]]/Таблица1[[#This Row],[Price]]</f>
        <v>0.18149999999999999</v>
      </c>
      <c r="S161" s="60">
        <f>VLOOKUP($A161,'Order Composition'!$B$2:$F$10,MATCH($C161,'Order Composition'!$B$2:$F$2,0),0)</f>
        <v>0.2</v>
      </c>
      <c r="T161" s="65">
        <f t="shared" si="25"/>
        <v>0.1452</v>
      </c>
      <c r="U161" s="65">
        <f>Таблица1[[#This Row],[Price]]*Таблица1[[#This Row],[Order]]</f>
        <v>0.8</v>
      </c>
      <c r="V161" s="65">
        <f>Таблица1[[#This Row],[Cost(with labour)]]*Таблица1[[#This Row],[Order]]</f>
        <v>0.65480000000000005</v>
      </c>
      <c r="W161" s="67">
        <f>VLOOKUP($A161,'Mean order price'!$B$2:$H$10,7,0)</f>
        <v>10</v>
      </c>
      <c r="X161" s="68">
        <f t="shared" si="23"/>
        <v>0.5</v>
      </c>
    </row>
    <row r="162" spans="1:24">
      <c r="A162" s="53" t="s">
        <v>55</v>
      </c>
      <c r="B162" s="54">
        <f t="shared" si="26"/>
        <v>159</v>
      </c>
      <c r="C162" s="53" t="s">
        <v>19</v>
      </c>
      <c r="D162" s="53" t="s">
        <v>22</v>
      </c>
      <c r="E162" s="59">
        <f>VLOOKUP('Menu and cost - USA by city'!D162,'Menu and cost - Russia'!$D$4:$P$29,2,FALSE)*(VLOOKUP('Menu and cost - USA by city'!A162,COGS!$B$3:$I$10,8,FALSE)/3)*0.4</f>
        <v>4</v>
      </c>
      <c r="F162" s="59">
        <f>SUMPRODUCT(H162:L162,'Mean order price'!$C$9:$G$9)*G162+P162*'Mean order price'!$H$9</f>
        <v>3.2949999999999999</v>
      </c>
      <c r="G162" s="53">
        <v>0.2</v>
      </c>
      <c r="H162" s="60">
        <v>0</v>
      </c>
      <c r="I162" s="60">
        <v>0.5</v>
      </c>
      <c r="J162" s="60">
        <v>0.4</v>
      </c>
      <c r="K162" s="60">
        <v>0</v>
      </c>
      <c r="L162" s="60">
        <v>0.1</v>
      </c>
      <c r="M162" s="60">
        <f t="shared" si="30"/>
        <v>1</v>
      </c>
      <c r="N162" s="61">
        <v>20</v>
      </c>
      <c r="O162" s="62">
        <f t="shared" si="31"/>
        <v>3</v>
      </c>
      <c r="P162" s="62">
        <f t="shared" si="32"/>
        <v>0.05</v>
      </c>
      <c r="Q162" s="65">
        <f t="shared" si="24"/>
        <v>0.70500000000000007</v>
      </c>
      <c r="R162" s="66">
        <f>Таблица1[[#This Row],[Profit]]/Таблица1[[#This Row],[Price]]</f>
        <v>0.17625000000000002</v>
      </c>
      <c r="S162" s="60">
        <f>VLOOKUP($A162,'Order Composition'!$B$2:$F$10,MATCH($C162,'Order Composition'!$B$2:$F$2,0),0)</f>
        <v>0.2</v>
      </c>
      <c r="T162" s="65">
        <f t="shared" si="25"/>
        <v>0.14100000000000001</v>
      </c>
      <c r="U162" s="65">
        <f>Таблица1[[#This Row],[Price]]*Таблица1[[#This Row],[Order]]</f>
        <v>0.8</v>
      </c>
      <c r="V162" s="65">
        <f>Таблица1[[#This Row],[Cost(with labour)]]*Таблица1[[#This Row],[Order]]</f>
        <v>0.65900000000000003</v>
      </c>
      <c r="W162" s="67">
        <f>VLOOKUP($A162,'Mean order price'!$B$2:$H$10,7,0)</f>
        <v>10</v>
      </c>
      <c r="X162" s="68">
        <f t="shared" si="23"/>
        <v>0.5</v>
      </c>
    </row>
    <row r="163" spans="1:24">
      <c r="A163" s="53" t="s">
        <v>55</v>
      </c>
      <c r="B163" s="54">
        <f t="shared" si="26"/>
        <v>160</v>
      </c>
      <c r="C163" s="53" t="s">
        <v>19</v>
      </c>
      <c r="D163" s="53" t="s">
        <v>23</v>
      </c>
      <c r="E163" s="59">
        <f>VLOOKUP('Menu and cost - USA by city'!D163,'Menu and cost - Russia'!$D$4:$P$29,2,FALSE)*(VLOOKUP('Menu and cost - USA by city'!A163,COGS!$B$3:$I$10,8,FALSE)/3)*0.4</f>
        <v>2.666666666666667</v>
      </c>
      <c r="F163" s="59">
        <f>SUMPRODUCT(H163:L163,'Mean order price'!$C$9:$G$9)*G163+P163*'Mean order price'!$H$9</f>
        <v>2.3314666666666666</v>
      </c>
      <c r="G163" s="53">
        <v>0.2</v>
      </c>
      <c r="H163" s="60">
        <v>0.1</v>
      </c>
      <c r="I163" s="60">
        <v>0</v>
      </c>
      <c r="J163" s="60">
        <v>0.4</v>
      </c>
      <c r="K163" s="60">
        <v>0.1</v>
      </c>
      <c r="L163" s="60">
        <v>0.4</v>
      </c>
      <c r="M163" s="60">
        <f t="shared" si="30"/>
        <v>1</v>
      </c>
      <c r="N163" s="61">
        <v>60</v>
      </c>
      <c r="O163" s="62">
        <f t="shared" si="31"/>
        <v>1</v>
      </c>
      <c r="P163" s="62">
        <f t="shared" si="32"/>
        <v>1.6666666666666666E-2</v>
      </c>
      <c r="Q163" s="65">
        <f t="shared" si="24"/>
        <v>0.33520000000000039</v>
      </c>
      <c r="R163" s="66">
        <f>Таблица1[[#This Row],[Profit]]/Таблица1[[#This Row],[Price]]</f>
        <v>0.12570000000000012</v>
      </c>
      <c r="S163" s="60">
        <f>VLOOKUP($A163,'Order Composition'!$B$2:$F$10,MATCH($C163,'Order Composition'!$B$2:$F$2,0),0)</f>
        <v>0.2</v>
      </c>
      <c r="T163" s="65">
        <f t="shared" si="25"/>
        <v>6.7040000000000086E-2</v>
      </c>
      <c r="U163" s="65">
        <f>Таблица1[[#This Row],[Price]]*Таблица1[[#This Row],[Order]]</f>
        <v>0.53333333333333344</v>
      </c>
      <c r="V163" s="65">
        <f>Таблица1[[#This Row],[Cost(with labour)]]*Таблица1[[#This Row],[Order]]</f>
        <v>0.46629333333333334</v>
      </c>
      <c r="W163" s="67">
        <f>VLOOKUP($A163,'Mean order price'!$B$2:$H$10,7,0)</f>
        <v>10</v>
      </c>
      <c r="X163" s="68">
        <f t="shared" si="23"/>
        <v>0.16666666666666666</v>
      </c>
    </row>
    <row r="164" spans="1:24">
      <c r="A164" s="53" t="s">
        <v>55</v>
      </c>
      <c r="B164" s="54">
        <f t="shared" si="26"/>
        <v>161</v>
      </c>
      <c r="C164" s="53" t="s">
        <v>19</v>
      </c>
      <c r="D164" s="53" t="s">
        <v>24</v>
      </c>
      <c r="E164" s="59">
        <f>VLOOKUP('Menu and cost - USA by city'!D164,'Menu and cost - Russia'!$D$4:$P$29,2,FALSE)*(VLOOKUP('Menu and cost - USA by city'!A164,COGS!$B$3:$I$10,8,FALSE)/3)*0.4</f>
        <v>2.666666666666667</v>
      </c>
      <c r="F164" s="59">
        <f>SUMPRODUCT(H164:L164,'Mean order price'!$C$9:$G$9)*G164+P164*'Mean order price'!$H$9</f>
        <v>2.473466666666666</v>
      </c>
      <c r="G164" s="53">
        <v>0.2</v>
      </c>
      <c r="H164" s="60">
        <v>0.1</v>
      </c>
      <c r="I164" s="60">
        <v>0.2</v>
      </c>
      <c r="J164" s="60">
        <v>0.3</v>
      </c>
      <c r="K164" s="60">
        <v>0.1</v>
      </c>
      <c r="L164" s="60">
        <v>0.3</v>
      </c>
      <c r="M164" s="60">
        <f t="shared" si="30"/>
        <v>1</v>
      </c>
      <c r="N164" s="61">
        <v>60</v>
      </c>
      <c r="O164" s="62">
        <f t="shared" si="31"/>
        <v>1</v>
      </c>
      <c r="P164" s="62">
        <f t="shared" si="32"/>
        <v>1.6666666666666666E-2</v>
      </c>
      <c r="Q164" s="65">
        <f t="shared" si="24"/>
        <v>0.19320000000000093</v>
      </c>
      <c r="R164" s="66">
        <f>Таблица1[[#This Row],[Profit]]/Таблица1[[#This Row],[Price]]</f>
        <v>7.2450000000000334E-2</v>
      </c>
      <c r="S164" s="60">
        <f>VLOOKUP($A164,'Order Composition'!$B$2:$F$10,MATCH($C164,'Order Composition'!$B$2:$F$2,0),0)</f>
        <v>0.2</v>
      </c>
      <c r="T164" s="65">
        <f t="shared" si="25"/>
        <v>3.8640000000000188E-2</v>
      </c>
      <c r="U164" s="65">
        <f>Таблица1[[#This Row],[Price]]*Таблица1[[#This Row],[Order]]</f>
        <v>0.53333333333333344</v>
      </c>
      <c r="V164" s="65">
        <f>Таблица1[[#This Row],[Cost(with labour)]]*Таблица1[[#This Row],[Order]]</f>
        <v>0.49469333333333321</v>
      </c>
      <c r="W164" s="67">
        <f>VLOOKUP($A164,'Mean order price'!$B$2:$H$10,7,0)</f>
        <v>10</v>
      </c>
      <c r="X164" s="68">
        <f t="shared" si="23"/>
        <v>0.16666666666666666</v>
      </c>
    </row>
    <row r="165" spans="1:24">
      <c r="A165" s="53" t="s">
        <v>55</v>
      </c>
      <c r="B165" s="54">
        <f t="shared" si="26"/>
        <v>162</v>
      </c>
      <c r="C165" s="53" t="s">
        <v>19</v>
      </c>
      <c r="D165" s="53" t="s">
        <v>25</v>
      </c>
      <c r="E165" s="59">
        <f>VLOOKUP('Menu and cost - USA by city'!D165,'Menu and cost - Russia'!$D$4:$P$29,2,FALSE)*(VLOOKUP('Menu and cost - USA by city'!A165,COGS!$B$3:$I$10,8,FALSE)/3)*0.4</f>
        <v>1.3333333333333335</v>
      </c>
      <c r="F165" s="59">
        <f>SUMPRODUCT(H165:L165,'Mean order price'!$C$9:$G$9)*G165+P165*'Mean order price'!$H$9</f>
        <v>1.6364333333333334</v>
      </c>
      <c r="G165" s="53">
        <v>0.1</v>
      </c>
      <c r="H165" s="60">
        <v>0.1</v>
      </c>
      <c r="I165" s="60">
        <v>0</v>
      </c>
      <c r="J165" s="60">
        <v>0.75</v>
      </c>
      <c r="K165" s="60">
        <v>0.05</v>
      </c>
      <c r="L165" s="60">
        <v>0.1</v>
      </c>
      <c r="M165" s="60">
        <f t="shared" si="30"/>
        <v>1</v>
      </c>
      <c r="N165" s="61">
        <v>30</v>
      </c>
      <c r="O165" s="62">
        <f t="shared" si="31"/>
        <v>2</v>
      </c>
      <c r="P165" s="62">
        <f t="shared" si="32"/>
        <v>3.3333333333333333E-2</v>
      </c>
      <c r="Q165" s="65">
        <f t="shared" si="24"/>
        <v>-0.30309999999999993</v>
      </c>
      <c r="R165" s="66">
        <f>Таблица1[[#This Row],[Profit]]/Таблица1[[#This Row],[Price]]</f>
        <v>-0.22732499999999992</v>
      </c>
      <c r="S165" s="60">
        <f>VLOOKUP($A165,'Order Composition'!$B$2:$F$10,MATCH($C165,'Order Composition'!$B$2:$F$2,0),0)</f>
        <v>0.2</v>
      </c>
      <c r="T165" s="65">
        <f t="shared" si="25"/>
        <v>-6.0619999999999986E-2</v>
      </c>
      <c r="U165" s="65">
        <f>Таблица1[[#This Row],[Price]]*Таблица1[[#This Row],[Order]]</f>
        <v>0.26666666666666672</v>
      </c>
      <c r="V165" s="65">
        <f>Таблица1[[#This Row],[Cost(with labour)]]*Таблица1[[#This Row],[Order]]</f>
        <v>0.32728666666666673</v>
      </c>
      <c r="W165" s="67">
        <f>VLOOKUP($A165,'Mean order price'!$B$2:$H$10,7,0)</f>
        <v>10</v>
      </c>
      <c r="X165" s="68">
        <f t="shared" si="23"/>
        <v>0.33333333333333331</v>
      </c>
    </row>
    <row r="166" spans="1:24">
      <c r="A166" s="53" t="s">
        <v>55</v>
      </c>
      <c r="B166" s="54">
        <f t="shared" si="26"/>
        <v>163</v>
      </c>
      <c r="C166" s="53" t="s">
        <v>19</v>
      </c>
      <c r="D166" s="53" t="s">
        <v>26</v>
      </c>
      <c r="E166" s="59">
        <f>VLOOKUP('Menu and cost - USA by city'!D166,'Menu and cost - Russia'!$D$4:$P$29,2,FALSE)*(VLOOKUP('Menu and cost - USA by city'!A166,COGS!$B$3:$I$10,8,FALSE)/3)*0.4</f>
        <v>1.3333333333333335</v>
      </c>
      <c r="F166" s="59">
        <f>SUMPRODUCT(H166:L166,'Mean order price'!$C$9:$G$9)*G166+P166*'Mean order price'!$H$9</f>
        <v>1.6539333333333333</v>
      </c>
      <c r="G166" s="53">
        <v>0.1</v>
      </c>
      <c r="H166" s="60">
        <v>0.1</v>
      </c>
      <c r="I166" s="60">
        <v>0.5</v>
      </c>
      <c r="J166" s="60">
        <v>0.25</v>
      </c>
      <c r="K166" s="60">
        <v>0.05</v>
      </c>
      <c r="L166" s="60">
        <v>0.1</v>
      </c>
      <c r="M166" s="60">
        <f t="shared" si="30"/>
        <v>1</v>
      </c>
      <c r="N166" s="61">
        <v>30</v>
      </c>
      <c r="O166" s="62">
        <f t="shared" si="31"/>
        <v>2</v>
      </c>
      <c r="P166" s="62">
        <f t="shared" si="32"/>
        <v>3.3333333333333333E-2</v>
      </c>
      <c r="Q166" s="65">
        <f t="shared" si="24"/>
        <v>-0.32059999999999977</v>
      </c>
      <c r="R166" s="66">
        <f>Таблица1[[#This Row],[Profit]]/Таблица1[[#This Row],[Price]]</f>
        <v>-0.2404499999999998</v>
      </c>
      <c r="S166" s="60">
        <f>VLOOKUP($A166,'Order Composition'!$B$2:$F$10,MATCH($C166,'Order Composition'!$B$2:$F$2,0),0)</f>
        <v>0.2</v>
      </c>
      <c r="T166" s="65">
        <f t="shared" si="25"/>
        <v>-6.4119999999999955E-2</v>
      </c>
      <c r="U166" s="65">
        <f>Таблица1[[#This Row],[Price]]*Таблица1[[#This Row],[Order]]</f>
        <v>0.26666666666666672</v>
      </c>
      <c r="V166" s="65">
        <f>Таблица1[[#This Row],[Cost(with labour)]]*Таблица1[[#This Row],[Order]]</f>
        <v>0.33078666666666667</v>
      </c>
      <c r="W166" s="67">
        <f>VLOOKUP($A166,'Mean order price'!$B$2:$H$10,7,0)</f>
        <v>10</v>
      </c>
      <c r="X166" s="68">
        <f t="shared" si="23"/>
        <v>0.33333333333333331</v>
      </c>
    </row>
    <row r="167" spans="1:24">
      <c r="A167" s="53" t="s">
        <v>55</v>
      </c>
      <c r="B167" s="54">
        <f t="shared" si="26"/>
        <v>164</v>
      </c>
      <c r="C167" s="53" t="s">
        <v>27</v>
      </c>
      <c r="D167" s="53" t="s">
        <v>28</v>
      </c>
      <c r="E167" s="59">
        <f>VLOOKUP('Menu and cost - USA by city'!D167,'Menu and cost - Russia'!$D$4:$P$29,2,FALSE)*(VLOOKUP('Menu and cost - USA by city'!A167,COGS!$B$3:$I$10,8,FALSE)/3)*0.4</f>
        <v>4</v>
      </c>
      <c r="F167" s="59">
        <f>SUMPRODUCT(H167:L167,'Mean order price'!$C$9:$G$9)*G167+P167*'Mean order price'!$H$9</f>
        <v>3.2728666666666668</v>
      </c>
      <c r="G167" s="53">
        <v>0.2</v>
      </c>
      <c r="H167" s="60">
        <v>0.1</v>
      </c>
      <c r="I167" s="60">
        <v>0</v>
      </c>
      <c r="J167" s="60">
        <v>0.75</v>
      </c>
      <c r="K167" s="60">
        <v>0.05</v>
      </c>
      <c r="L167" s="60">
        <v>0.1</v>
      </c>
      <c r="M167" s="60">
        <f t="shared" si="30"/>
        <v>1</v>
      </c>
      <c r="N167" s="61">
        <v>15</v>
      </c>
      <c r="O167" s="62">
        <f t="shared" si="31"/>
        <v>4</v>
      </c>
      <c r="P167" s="62">
        <f t="shared" si="32"/>
        <v>6.6666666666666666E-2</v>
      </c>
      <c r="Q167" s="65">
        <f t="shared" si="24"/>
        <v>0.72713333333333319</v>
      </c>
      <c r="R167" s="66">
        <f>Таблица1[[#This Row],[Profit]]/Таблица1[[#This Row],[Price]]</f>
        <v>0.1817833333333333</v>
      </c>
      <c r="S167" s="60">
        <f>VLOOKUP($A167,'Order Composition'!$B$2:$F$10,MATCH($C167,'Order Composition'!$B$2:$F$2,0),0)</f>
        <v>0.65</v>
      </c>
      <c r="T167" s="65">
        <f t="shared" si="25"/>
        <v>0.47263666666666659</v>
      </c>
      <c r="U167" s="65">
        <f>Таблица1[[#This Row],[Price]]*Таблица1[[#This Row],[Order]]</f>
        <v>2.6</v>
      </c>
      <c r="V167" s="65">
        <f>Таблица1[[#This Row],[Cost(with labour)]]*Таблица1[[#This Row],[Order]]</f>
        <v>2.1273633333333337</v>
      </c>
      <c r="W167" s="67">
        <f>VLOOKUP($A167,'Mean order price'!$B$2:$H$10,7,0)</f>
        <v>10</v>
      </c>
      <c r="X167" s="68">
        <f t="shared" si="23"/>
        <v>0.66666666666666663</v>
      </c>
    </row>
    <row r="168" spans="1:24">
      <c r="A168" s="53" t="s">
        <v>55</v>
      </c>
      <c r="B168" s="54">
        <f t="shared" si="26"/>
        <v>165</v>
      </c>
      <c r="C168" s="53" t="s">
        <v>27</v>
      </c>
      <c r="D168" s="53" t="s">
        <v>29</v>
      </c>
      <c r="E168" s="59">
        <f>VLOOKUP('Menu and cost - USA by city'!D168,'Menu and cost - Russia'!$D$4:$P$29,2,FALSE)*(VLOOKUP('Menu and cost - USA by city'!A168,COGS!$B$3:$I$10,8,FALSE)/3)*0.4</f>
        <v>4</v>
      </c>
      <c r="F168" s="59">
        <f>SUMPRODUCT(H168:L168,'Mean order price'!$C$9:$G$9)*G168+P168*'Mean order price'!$H$9</f>
        <v>4.2867666666666668</v>
      </c>
      <c r="G168" s="53">
        <v>0.3</v>
      </c>
      <c r="H168" s="60">
        <v>0.3</v>
      </c>
      <c r="I168" s="60">
        <v>0</v>
      </c>
      <c r="J168" s="60">
        <v>0.55000000000000004</v>
      </c>
      <c r="K168" s="60">
        <v>0.05</v>
      </c>
      <c r="L168" s="60">
        <v>0.1</v>
      </c>
      <c r="M168" s="60">
        <f t="shared" si="30"/>
        <v>1.0000000000000002</v>
      </c>
      <c r="N168" s="61">
        <v>15</v>
      </c>
      <c r="O168" s="62">
        <f t="shared" si="31"/>
        <v>4</v>
      </c>
      <c r="P168" s="62">
        <f t="shared" si="32"/>
        <v>6.6666666666666666E-2</v>
      </c>
      <c r="Q168" s="65">
        <f t="shared" si="24"/>
        <v>-0.28676666666666684</v>
      </c>
      <c r="R168" s="66">
        <f>Таблица1[[#This Row],[Profit]]/Таблица1[[#This Row],[Price]]</f>
        <v>-7.1691666666666709E-2</v>
      </c>
      <c r="S168" s="60">
        <f>VLOOKUP($A168,'Order Composition'!$B$2:$F$10,MATCH($C168,'Order Composition'!$B$2:$F$2,0),0)</f>
        <v>0.65</v>
      </c>
      <c r="T168" s="65">
        <f t="shared" si="25"/>
        <v>-0.18639833333333344</v>
      </c>
      <c r="U168" s="65">
        <f>Таблица1[[#This Row],[Price]]*Таблица1[[#This Row],[Order]]</f>
        <v>2.6</v>
      </c>
      <c r="V168" s="65">
        <f>Таблица1[[#This Row],[Cost(with labour)]]*Таблица1[[#This Row],[Order]]</f>
        <v>2.7863983333333335</v>
      </c>
      <c r="W168" s="67">
        <f>VLOOKUP($A168,'Mean order price'!$B$2:$H$10,7,0)</f>
        <v>10</v>
      </c>
      <c r="X168" s="68">
        <f t="shared" si="23"/>
        <v>0.66666666666666663</v>
      </c>
    </row>
    <row r="169" spans="1:24">
      <c r="A169" s="53" t="s">
        <v>55</v>
      </c>
      <c r="B169" s="54">
        <f t="shared" si="26"/>
        <v>166</v>
      </c>
      <c r="C169" s="53" t="s">
        <v>27</v>
      </c>
      <c r="D169" s="53" t="s">
        <v>30</v>
      </c>
      <c r="E169" s="59">
        <f>VLOOKUP('Menu and cost - USA by city'!D169,'Menu and cost - Russia'!$D$4:$P$29,2,FALSE)*(VLOOKUP('Menu and cost - USA by city'!A169,COGS!$B$3:$I$10,8,FALSE)/3)*0.4</f>
        <v>4</v>
      </c>
      <c r="F169" s="59">
        <f>SUMPRODUCT(H169:L169,'Mean order price'!$C$9:$G$9)*G169+P169*'Mean order price'!$H$9</f>
        <v>4.6022166666666671</v>
      </c>
      <c r="G169" s="53">
        <v>0.3</v>
      </c>
      <c r="H169" s="60">
        <v>0.1</v>
      </c>
      <c r="I169" s="60">
        <v>0.25</v>
      </c>
      <c r="J169" s="60">
        <v>0.5</v>
      </c>
      <c r="K169" s="60">
        <v>0.05</v>
      </c>
      <c r="L169" s="60">
        <v>0.1</v>
      </c>
      <c r="M169" s="60">
        <f t="shared" si="30"/>
        <v>1</v>
      </c>
      <c r="N169" s="61">
        <v>15</v>
      </c>
      <c r="O169" s="62">
        <f t="shared" si="31"/>
        <v>4</v>
      </c>
      <c r="P169" s="62">
        <f t="shared" si="32"/>
        <v>6.6666666666666666E-2</v>
      </c>
      <c r="Q169" s="65">
        <f t="shared" si="24"/>
        <v>-0.60221666666666707</v>
      </c>
      <c r="R169" s="66">
        <f>Таблица1[[#This Row],[Profit]]/Таблица1[[#This Row],[Price]]</f>
        <v>-0.15055416666666677</v>
      </c>
      <c r="S169" s="60">
        <f>VLOOKUP($A169,'Order Composition'!$B$2:$F$10,MATCH($C169,'Order Composition'!$B$2:$F$2,0),0)</f>
        <v>0.65</v>
      </c>
      <c r="T169" s="65">
        <f t="shared" si="25"/>
        <v>-0.39144083333333363</v>
      </c>
      <c r="U169" s="65">
        <f>Таблица1[[#This Row],[Price]]*Таблица1[[#This Row],[Order]]</f>
        <v>2.6</v>
      </c>
      <c r="V169" s="65">
        <f>Таблица1[[#This Row],[Cost(with labour)]]*Таблица1[[#This Row],[Order]]</f>
        <v>2.9914408333333338</v>
      </c>
      <c r="W169" s="67">
        <f>VLOOKUP($A169,'Mean order price'!$B$2:$H$10,7,0)</f>
        <v>10</v>
      </c>
      <c r="X169" s="68">
        <f t="shared" si="23"/>
        <v>0.66666666666666663</v>
      </c>
    </row>
    <row r="170" spans="1:24">
      <c r="A170" s="53" t="s">
        <v>55</v>
      </c>
      <c r="B170" s="54">
        <f t="shared" si="26"/>
        <v>167</v>
      </c>
      <c r="C170" s="53" t="s">
        <v>27</v>
      </c>
      <c r="D170" s="53" t="s">
        <v>31</v>
      </c>
      <c r="E170" s="59">
        <f>VLOOKUP('Menu and cost - USA by city'!D170,'Menu and cost - Russia'!$D$4:$P$29,2,FALSE)*(VLOOKUP('Menu and cost - USA by city'!A170,COGS!$B$3:$I$10,8,FALSE)/3)*0.4</f>
        <v>4</v>
      </c>
      <c r="F170" s="59">
        <f>SUMPRODUCT(H170:L170,'Mean order price'!$C$9:$G$9)*G170+P170*'Mean order price'!$H$9</f>
        <v>3.5378000000000003</v>
      </c>
      <c r="G170" s="53">
        <v>0.2</v>
      </c>
      <c r="H170" s="60">
        <v>0.2</v>
      </c>
      <c r="I170" s="60">
        <v>0.4</v>
      </c>
      <c r="J170" s="60">
        <v>0.25</v>
      </c>
      <c r="K170" s="60">
        <v>0.05</v>
      </c>
      <c r="L170" s="60">
        <v>0.1</v>
      </c>
      <c r="M170" s="60">
        <f t="shared" si="30"/>
        <v>1.0000000000000002</v>
      </c>
      <c r="N170" s="61">
        <v>10</v>
      </c>
      <c r="O170" s="62">
        <f t="shared" si="31"/>
        <v>6</v>
      </c>
      <c r="P170" s="62">
        <f t="shared" si="32"/>
        <v>0.1</v>
      </c>
      <c r="Q170" s="65">
        <f t="shared" si="24"/>
        <v>0.46219999999999972</v>
      </c>
      <c r="R170" s="66">
        <f>Таблица1[[#This Row],[Profit]]/Таблица1[[#This Row],[Price]]</f>
        <v>0.11554999999999993</v>
      </c>
      <c r="S170" s="60">
        <f>VLOOKUP($A170,'Order Composition'!$B$2:$F$10,MATCH($C170,'Order Composition'!$B$2:$F$2,0),0)</f>
        <v>0.65</v>
      </c>
      <c r="T170" s="65">
        <f t="shared" si="25"/>
        <v>0.30042999999999981</v>
      </c>
      <c r="U170" s="65">
        <f>Таблица1[[#This Row],[Price]]*Таблица1[[#This Row],[Order]]</f>
        <v>2.6</v>
      </c>
      <c r="V170" s="65">
        <f>Таблица1[[#This Row],[Cost(with labour)]]*Таблица1[[#This Row],[Order]]</f>
        <v>2.2995700000000001</v>
      </c>
      <c r="W170" s="67">
        <f>VLOOKUP($A170,'Mean order price'!$B$2:$H$10,7,0)</f>
        <v>10</v>
      </c>
      <c r="X170" s="68">
        <f t="shared" si="23"/>
        <v>1</v>
      </c>
    </row>
    <row r="171" spans="1:24">
      <c r="A171" s="53" t="s">
        <v>55</v>
      </c>
      <c r="B171" s="54">
        <f t="shared" si="26"/>
        <v>168</v>
      </c>
      <c r="C171" s="53" t="s">
        <v>27</v>
      </c>
      <c r="D171" s="53" t="s">
        <v>32</v>
      </c>
      <c r="E171" s="59">
        <f>VLOOKUP('Menu and cost - USA by city'!D171,'Menu and cost - Russia'!$D$4:$P$29,2,FALSE)*(VLOOKUP('Menu and cost - USA by city'!A171,COGS!$B$3:$I$10,8,FALSE)/3)*0.4</f>
        <v>5.3333333333333339</v>
      </c>
      <c r="F171" s="59">
        <f>SUMPRODUCT(H171:L171,'Mean order price'!$C$9:$G$9)*G171+P171*'Mean order price'!$H$9</f>
        <v>4.8276999999999992</v>
      </c>
      <c r="G171" s="53">
        <v>0.3</v>
      </c>
      <c r="H171" s="60">
        <v>0.2</v>
      </c>
      <c r="I171" s="60">
        <v>0.6</v>
      </c>
      <c r="J171" s="60">
        <v>0.05</v>
      </c>
      <c r="K171" s="60">
        <v>0.05</v>
      </c>
      <c r="L171" s="60">
        <v>0.1</v>
      </c>
      <c r="M171" s="60">
        <f t="shared" si="30"/>
        <v>1.0000000000000002</v>
      </c>
      <c r="N171" s="61">
        <v>10</v>
      </c>
      <c r="O171" s="62">
        <f t="shared" si="31"/>
        <v>6</v>
      </c>
      <c r="P171" s="62">
        <f t="shared" si="32"/>
        <v>0.1</v>
      </c>
      <c r="Q171" s="65">
        <f t="shared" si="24"/>
        <v>0.50563333333333471</v>
      </c>
      <c r="R171" s="66">
        <f>Таблица1[[#This Row],[Profit]]/Таблица1[[#This Row],[Price]]</f>
        <v>9.4806250000000244E-2</v>
      </c>
      <c r="S171" s="60">
        <f>VLOOKUP($A171,'Order Composition'!$B$2:$F$10,MATCH($C171,'Order Composition'!$B$2:$F$2,0),0)</f>
        <v>0.65</v>
      </c>
      <c r="T171" s="65">
        <f t="shared" si="25"/>
        <v>0.32866166666666757</v>
      </c>
      <c r="U171" s="65">
        <f>Таблица1[[#This Row],[Price]]*Таблица1[[#This Row],[Order]]</f>
        <v>3.4666666666666672</v>
      </c>
      <c r="V171" s="65">
        <f>Таблица1[[#This Row],[Cost(with labour)]]*Таблица1[[#This Row],[Order]]</f>
        <v>3.1380049999999997</v>
      </c>
      <c r="W171" s="67">
        <f>VLOOKUP($A171,'Mean order price'!$B$2:$H$10,7,0)</f>
        <v>10</v>
      </c>
      <c r="X171" s="68">
        <f t="shared" si="23"/>
        <v>1</v>
      </c>
    </row>
    <row r="172" spans="1:24">
      <c r="A172" s="53" t="s">
        <v>55</v>
      </c>
      <c r="B172" s="54">
        <f t="shared" si="26"/>
        <v>169</v>
      </c>
      <c r="C172" s="53" t="s">
        <v>27</v>
      </c>
      <c r="D172" s="53" t="s">
        <v>33</v>
      </c>
      <c r="E172" s="59">
        <f>VLOOKUP('Menu and cost - USA by city'!D172,'Menu and cost - Russia'!$D$4:$P$29,2,FALSE)*(VLOOKUP('Menu and cost - USA by city'!A172,COGS!$B$3:$I$10,8,FALSE)/3)*0.4</f>
        <v>5.3333333333333339</v>
      </c>
      <c r="F172" s="59">
        <f>SUMPRODUCT(H172:L172,'Mean order price'!$C$9:$G$9)*G172+P172*'Mean order price'!$H$9</f>
        <v>4.8171999999999997</v>
      </c>
      <c r="G172" s="53">
        <v>0.3</v>
      </c>
      <c r="H172" s="60">
        <v>0.2</v>
      </c>
      <c r="I172" s="60">
        <v>0.5</v>
      </c>
      <c r="J172" s="60">
        <v>0.15</v>
      </c>
      <c r="K172" s="60">
        <v>0.05</v>
      </c>
      <c r="L172" s="60">
        <v>0.1</v>
      </c>
      <c r="M172" s="60">
        <f t="shared" si="30"/>
        <v>1</v>
      </c>
      <c r="N172" s="61">
        <v>10</v>
      </c>
      <c r="O172" s="62">
        <f t="shared" si="31"/>
        <v>6</v>
      </c>
      <c r="P172" s="62">
        <f t="shared" si="32"/>
        <v>0.1</v>
      </c>
      <c r="Q172" s="65">
        <f t="shared" si="24"/>
        <v>0.51613333333333422</v>
      </c>
      <c r="R172" s="66">
        <f>Таблица1[[#This Row],[Profit]]/Таблица1[[#This Row],[Price]]</f>
        <v>9.6775000000000153E-2</v>
      </c>
      <c r="S172" s="60">
        <f>VLOOKUP($A172,'Order Composition'!$B$2:$F$10,MATCH($C172,'Order Composition'!$B$2:$F$2,0),0)</f>
        <v>0.65</v>
      </c>
      <c r="T172" s="65">
        <f t="shared" si="25"/>
        <v>0.33548666666666727</v>
      </c>
      <c r="U172" s="65">
        <f>Таблица1[[#This Row],[Price]]*Таблица1[[#This Row],[Order]]</f>
        <v>3.4666666666666672</v>
      </c>
      <c r="V172" s="65">
        <f>Таблица1[[#This Row],[Cost(with labour)]]*Таблица1[[#This Row],[Order]]</f>
        <v>3.1311800000000001</v>
      </c>
      <c r="W172" s="67">
        <f>VLOOKUP($A172,'Mean order price'!$B$2:$H$10,7,0)</f>
        <v>10</v>
      </c>
      <c r="X172" s="68">
        <f t="shared" si="23"/>
        <v>1</v>
      </c>
    </row>
    <row r="173" spans="1:24">
      <c r="A173" s="53" t="s">
        <v>55</v>
      </c>
      <c r="B173" s="54">
        <f t="shared" si="26"/>
        <v>170</v>
      </c>
      <c r="C173" s="53" t="s">
        <v>27</v>
      </c>
      <c r="D173" s="53" t="s">
        <v>34</v>
      </c>
      <c r="E173" s="59">
        <f>VLOOKUP('Menu and cost - USA by city'!D173,'Menu and cost - Russia'!$D$4:$P$29,2,FALSE)*(VLOOKUP('Menu and cost - USA by city'!A173,COGS!$B$3:$I$10,8,FALSE)/3)*0.4</f>
        <v>4</v>
      </c>
      <c r="F173" s="59">
        <f>SUMPRODUCT(H173:L173,'Mean order price'!$C$9:$G$9)*G173+P173*'Mean order price'!$H$9</f>
        <v>3.2728666666666668</v>
      </c>
      <c r="G173" s="53">
        <v>0.2</v>
      </c>
      <c r="H173" s="60">
        <v>0.1</v>
      </c>
      <c r="I173" s="60">
        <v>0</v>
      </c>
      <c r="J173" s="60">
        <v>0.75</v>
      </c>
      <c r="K173" s="60">
        <v>0.05</v>
      </c>
      <c r="L173" s="60">
        <v>0.1</v>
      </c>
      <c r="M173" s="60">
        <f t="shared" si="30"/>
        <v>1</v>
      </c>
      <c r="N173" s="61">
        <v>15</v>
      </c>
      <c r="O173" s="62">
        <f t="shared" si="31"/>
        <v>4</v>
      </c>
      <c r="P173" s="62">
        <f t="shared" si="32"/>
        <v>6.6666666666666666E-2</v>
      </c>
      <c r="Q173" s="65">
        <f t="shared" si="24"/>
        <v>0.72713333333333319</v>
      </c>
      <c r="R173" s="66">
        <f>Таблица1[[#This Row],[Profit]]/Таблица1[[#This Row],[Price]]</f>
        <v>0.1817833333333333</v>
      </c>
      <c r="S173" s="60">
        <f>VLOOKUP($A173,'Order Composition'!$B$2:$F$10,MATCH($C173,'Order Composition'!$B$2:$F$2,0),0)</f>
        <v>0.65</v>
      </c>
      <c r="T173" s="65">
        <f t="shared" si="25"/>
        <v>0.47263666666666659</v>
      </c>
      <c r="U173" s="65">
        <f>Таблица1[[#This Row],[Price]]*Таблица1[[#This Row],[Order]]</f>
        <v>2.6</v>
      </c>
      <c r="V173" s="65">
        <f>Таблица1[[#This Row],[Cost(with labour)]]*Таблица1[[#This Row],[Order]]</f>
        <v>2.1273633333333337</v>
      </c>
      <c r="W173" s="67">
        <f>VLOOKUP($A173,'Mean order price'!$B$2:$H$10,7,0)</f>
        <v>10</v>
      </c>
      <c r="X173" s="68">
        <f t="shared" si="23"/>
        <v>0.66666666666666663</v>
      </c>
    </row>
    <row r="174" spans="1:24">
      <c r="A174" s="53" t="s">
        <v>55</v>
      </c>
      <c r="B174" s="54">
        <f t="shared" si="26"/>
        <v>171</v>
      </c>
      <c r="C174" s="53" t="s">
        <v>27</v>
      </c>
      <c r="D174" s="53" t="s">
        <v>35</v>
      </c>
      <c r="E174" s="59">
        <f>VLOOKUP('Menu and cost - USA by city'!D174,'Menu and cost - Russia'!$D$4:$P$29,2,FALSE)*(VLOOKUP('Menu and cost - USA by city'!A174,COGS!$B$3:$I$10,8,FALSE)/3)*0.4</f>
        <v>4</v>
      </c>
      <c r="F174" s="59">
        <f>SUMPRODUCT(H174:L174,'Mean order price'!$C$9:$G$9)*G174+P174*'Mean order price'!$H$9</f>
        <v>3.1764666666666668</v>
      </c>
      <c r="G174" s="53">
        <v>0.2</v>
      </c>
      <c r="H174" s="60">
        <v>0.2</v>
      </c>
      <c r="I174" s="60">
        <v>0</v>
      </c>
      <c r="J174" s="60">
        <v>0.65</v>
      </c>
      <c r="K174" s="60">
        <v>0.05</v>
      </c>
      <c r="L174" s="60">
        <v>0.1</v>
      </c>
      <c r="M174" s="60">
        <f t="shared" si="30"/>
        <v>1.0000000000000002</v>
      </c>
      <c r="N174" s="61">
        <v>15</v>
      </c>
      <c r="O174" s="62">
        <f t="shared" si="31"/>
        <v>4</v>
      </c>
      <c r="P174" s="62">
        <f t="shared" si="32"/>
        <v>6.6666666666666666E-2</v>
      </c>
      <c r="Q174" s="65">
        <f t="shared" si="24"/>
        <v>0.82353333333333323</v>
      </c>
      <c r="R174" s="66">
        <f>Таблица1[[#This Row],[Profit]]/Таблица1[[#This Row],[Price]]</f>
        <v>0.20588333333333331</v>
      </c>
      <c r="S174" s="60">
        <f>VLOOKUP($A174,'Order Composition'!$B$2:$F$10,MATCH($C174,'Order Composition'!$B$2:$F$2,0),0)</f>
        <v>0.65</v>
      </c>
      <c r="T174" s="65">
        <f t="shared" si="25"/>
        <v>0.53529666666666664</v>
      </c>
      <c r="U174" s="65">
        <f>Таблица1[[#This Row],[Price]]*Таблица1[[#This Row],[Order]]</f>
        <v>2.6</v>
      </c>
      <c r="V174" s="65">
        <f>Таблица1[[#This Row],[Cost(with labour)]]*Таблица1[[#This Row],[Order]]</f>
        <v>2.0647033333333336</v>
      </c>
      <c r="W174" s="67">
        <f>VLOOKUP($A174,'Mean order price'!$B$2:$H$10,7,0)</f>
        <v>10</v>
      </c>
      <c r="X174" s="68">
        <f t="shared" si="23"/>
        <v>0.66666666666666663</v>
      </c>
    </row>
    <row r="175" spans="1:24">
      <c r="A175" s="53" t="s">
        <v>55</v>
      </c>
      <c r="B175" s="54">
        <f t="shared" si="26"/>
        <v>172</v>
      </c>
      <c r="C175" s="53" t="s">
        <v>27</v>
      </c>
      <c r="D175" s="53" t="s">
        <v>36</v>
      </c>
      <c r="E175" s="59">
        <f>VLOOKUP('Menu and cost - USA by city'!D175,'Menu and cost - Russia'!$D$4:$P$29,2,FALSE)*(VLOOKUP('Menu and cost - USA by city'!A175,COGS!$B$3:$I$10,8,FALSE)/3)*0.4</f>
        <v>6.6666666666666679</v>
      </c>
      <c r="F175" s="59">
        <f>SUMPRODUCT(H175:L175,'Mean order price'!$C$9:$G$9)*G175+P175*'Mean order price'!$H$9</f>
        <v>4.8084999999999996</v>
      </c>
      <c r="G175" s="53">
        <v>0.3</v>
      </c>
      <c r="H175" s="60">
        <v>0</v>
      </c>
      <c r="I175" s="60">
        <v>0.5</v>
      </c>
      <c r="J175" s="60">
        <v>0.2</v>
      </c>
      <c r="K175" s="60">
        <v>0</v>
      </c>
      <c r="L175" s="60">
        <v>0.3</v>
      </c>
      <c r="M175" s="60">
        <f t="shared" si="30"/>
        <v>1</v>
      </c>
      <c r="N175" s="61">
        <v>10</v>
      </c>
      <c r="O175" s="62">
        <f t="shared" si="31"/>
        <v>6</v>
      </c>
      <c r="P175" s="62">
        <f t="shared" si="32"/>
        <v>0.1</v>
      </c>
      <c r="Q175" s="65">
        <f t="shared" si="24"/>
        <v>1.8581666666666683</v>
      </c>
      <c r="R175" s="66">
        <f>Таблица1[[#This Row],[Profit]]/Таблица1[[#This Row],[Price]]</f>
        <v>0.27872500000000022</v>
      </c>
      <c r="S175" s="60">
        <f>VLOOKUP($A175,'Order Composition'!$B$2:$F$10,MATCH($C175,'Order Composition'!$B$2:$F$2,0),0)</f>
        <v>0.65</v>
      </c>
      <c r="T175" s="65">
        <f t="shared" si="25"/>
        <v>1.2078083333333345</v>
      </c>
      <c r="U175" s="65">
        <f>Таблица1[[#This Row],[Price]]*Таблица1[[#This Row],[Order]]</f>
        <v>4.3333333333333339</v>
      </c>
      <c r="V175" s="65">
        <f>Таблица1[[#This Row],[Cost(with labour)]]*Таблица1[[#This Row],[Order]]</f>
        <v>3.1255249999999997</v>
      </c>
      <c r="W175" s="67">
        <f>VLOOKUP($A175,'Mean order price'!$B$2:$H$10,7,0)</f>
        <v>10</v>
      </c>
      <c r="X175" s="68">
        <f t="shared" si="23"/>
        <v>1</v>
      </c>
    </row>
    <row r="176" spans="1:24">
      <c r="A176" s="53" t="s">
        <v>55</v>
      </c>
      <c r="B176" s="54">
        <f t="shared" si="26"/>
        <v>173</v>
      </c>
      <c r="C176" s="53" t="s">
        <v>27</v>
      </c>
      <c r="D176" s="53" t="s">
        <v>37</v>
      </c>
      <c r="E176" s="59">
        <f>VLOOKUP('Menu and cost - USA by city'!D176,'Menu and cost - Russia'!$D$4:$P$29,2,FALSE)*(VLOOKUP('Menu and cost - USA by city'!A176,COGS!$B$3:$I$10,8,FALSE)/3)*0.4</f>
        <v>6.6666666666666679</v>
      </c>
      <c r="F176" s="59">
        <f>SUMPRODUCT(H176:L176,'Mean order price'!$C$9:$G$9)*G176+P176*'Mean order price'!$H$9</f>
        <v>4.8559000000000001</v>
      </c>
      <c r="G176" s="53">
        <v>0.3</v>
      </c>
      <c r="H176" s="60">
        <v>0.1</v>
      </c>
      <c r="I176" s="60">
        <v>0.5</v>
      </c>
      <c r="J176" s="60">
        <v>0.2</v>
      </c>
      <c r="K176" s="60">
        <v>0</v>
      </c>
      <c r="L176" s="60">
        <v>0.2</v>
      </c>
      <c r="M176" s="60">
        <f t="shared" si="30"/>
        <v>1</v>
      </c>
      <c r="N176" s="61">
        <v>10</v>
      </c>
      <c r="O176" s="62">
        <f t="shared" si="31"/>
        <v>6</v>
      </c>
      <c r="P176" s="62">
        <f t="shared" si="32"/>
        <v>0.1</v>
      </c>
      <c r="Q176" s="65">
        <f t="shared" si="24"/>
        <v>1.8107666666666677</v>
      </c>
      <c r="R176" s="66">
        <f>Таблица1[[#This Row],[Profit]]/Таблица1[[#This Row],[Price]]</f>
        <v>0.27161500000000011</v>
      </c>
      <c r="S176" s="60">
        <f>VLOOKUP($A176,'Order Composition'!$B$2:$F$10,MATCH($C176,'Order Composition'!$B$2:$F$2,0),0)</f>
        <v>0.65</v>
      </c>
      <c r="T176" s="65">
        <f t="shared" si="25"/>
        <v>1.176998333333334</v>
      </c>
      <c r="U176" s="65">
        <f>Таблица1[[#This Row],[Price]]*Таблица1[[#This Row],[Order]]</f>
        <v>4.3333333333333339</v>
      </c>
      <c r="V176" s="65">
        <f>Таблица1[[#This Row],[Cost(with labour)]]*Таблица1[[#This Row],[Order]]</f>
        <v>3.1563350000000003</v>
      </c>
      <c r="W176" s="67">
        <f>VLOOKUP($A176,'Mean order price'!$B$2:$H$10,7,0)</f>
        <v>10</v>
      </c>
      <c r="X176" s="68">
        <f t="shared" si="23"/>
        <v>1</v>
      </c>
    </row>
    <row r="177" spans="1:24">
      <c r="A177" s="53" t="s">
        <v>55</v>
      </c>
      <c r="B177" s="54">
        <f t="shared" si="26"/>
        <v>174</v>
      </c>
      <c r="C177" s="53" t="s">
        <v>38</v>
      </c>
      <c r="D177" s="53" t="s">
        <v>39</v>
      </c>
      <c r="E177" s="59">
        <f>VLOOKUP('Menu and cost - USA by city'!D177,'Menu and cost - Russia'!$D$4:$P$29,2,FALSE)*(VLOOKUP('Menu and cost - USA by city'!A177,COGS!$B$3:$I$10,8,FALSE)/3)*0.4</f>
        <v>4</v>
      </c>
      <c r="F177" s="59">
        <f>SUMPRODUCT(H177:L177,'Mean order price'!$C$9:$G$9)*G177+P177*'Mean order price'!$H$9</f>
        <v>2.2333999999999996</v>
      </c>
      <c r="G177" s="53">
        <v>0.15</v>
      </c>
      <c r="H177" s="60">
        <v>0.2</v>
      </c>
      <c r="I177" s="60">
        <v>0</v>
      </c>
      <c r="J177" s="60">
        <v>0.5</v>
      </c>
      <c r="K177" s="60">
        <v>0</v>
      </c>
      <c r="L177" s="60">
        <v>0.3</v>
      </c>
      <c r="M177" s="60">
        <f t="shared" si="30"/>
        <v>1</v>
      </c>
      <c r="N177" s="61">
        <v>20</v>
      </c>
      <c r="O177" s="62">
        <f t="shared" si="31"/>
        <v>3</v>
      </c>
      <c r="P177" s="62">
        <f t="shared" si="32"/>
        <v>0.05</v>
      </c>
      <c r="Q177" s="65">
        <f t="shared" si="24"/>
        <v>1.7666000000000004</v>
      </c>
      <c r="R177" s="66">
        <f>Таблица1[[#This Row],[Profit]]/Таблица1[[#This Row],[Price]]</f>
        <v>0.4416500000000001</v>
      </c>
      <c r="S177" s="60">
        <f>VLOOKUP($A177,'Order Composition'!$B$2:$F$10,MATCH($C177,'Order Composition'!$B$2:$F$2,0),0)</f>
        <v>0.45</v>
      </c>
      <c r="T177" s="65">
        <f t="shared" si="25"/>
        <v>0.79497000000000018</v>
      </c>
      <c r="U177" s="65">
        <f>Таблица1[[#This Row],[Price]]*Таблица1[[#This Row],[Order]]</f>
        <v>1.8</v>
      </c>
      <c r="V177" s="65">
        <f>Таблица1[[#This Row],[Cost(with labour)]]*Таблица1[[#This Row],[Order]]</f>
        <v>1.0050299999999999</v>
      </c>
      <c r="W177" s="67">
        <f>VLOOKUP($A177,'Mean order price'!$B$2:$H$10,7,0)</f>
        <v>10</v>
      </c>
      <c r="X177" s="68">
        <f t="shared" si="23"/>
        <v>0.5</v>
      </c>
    </row>
    <row r="178" spans="1:24">
      <c r="A178" s="53" t="s">
        <v>55</v>
      </c>
      <c r="B178" s="54">
        <f t="shared" si="26"/>
        <v>175</v>
      </c>
      <c r="C178" s="53" t="s">
        <v>38</v>
      </c>
      <c r="D178" s="53" t="s">
        <v>40</v>
      </c>
      <c r="E178" s="59">
        <f>VLOOKUP('Menu and cost - USA by city'!D178,'Menu and cost - Russia'!$D$4:$P$29,2,FALSE)*(VLOOKUP('Menu and cost - USA by city'!A178,COGS!$B$3:$I$10,8,FALSE)/3)*0.4</f>
        <v>4</v>
      </c>
      <c r="F178" s="59">
        <f>SUMPRODUCT(H178:L178,'Mean order price'!$C$9:$G$9)*G178+P178*'Mean order price'!$H$9</f>
        <v>2.2333999999999996</v>
      </c>
      <c r="G178" s="53">
        <v>0.15</v>
      </c>
      <c r="H178" s="60">
        <v>0.2</v>
      </c>
      <c r="I178" s="60">
        <v>0</v>
      </c>
      <c r="J178" s="60">
        <v>0.5</v>
      </c>
      <c r="K178" s="60">
        <v>0</v>
      </c>
      <c r="L178" s="60">
        <v>0.3</v>
      </c>
      <c r="M178" s="60">
        <f t="shared" si="30"/>
        <v>1</v>
      </c>
      <c r="N178" s="61">
        <v>20</v>
      </c>
      <c r="O178" s="62">
        <f t="shared" si="31"/>
        <v>3</v>
      </c>
      <c r="P178" s="62">
        <f t="shared" si="32"/>
        <v>0.05</v>
      </c>
      <c r="Q178" s="65">
        <f t="shared" si="24"/>
        <v>1.7666000000000004</v>
      </c>
      <c r="R178" s="66">
        <f>Таблица1[[#This Row],[Profit]]/Таблица1[[#This Row],[Price]]</f>
        <v>0.4416500000000001</v>
      </c>
      <c r="S178" s="60">
        <f>VLOOKUP($A178,'Order Composition'!$B$2:$F$10,MATCH($C178,'Order Composition'!$B$2:$F$2,0),0)</f>
        <v>0.45</v>
      </c>
      <c r="T178" s="65">
        <f t="shared" si="25"/>
        <v>0.79497000000000018</v>
      </c>
      <c r="U178" s="65">
        <f>Таблица1[[#This Row],[Price]]*Таблица1[[#This Row],[Order]]</f>
        <v>1.8</v>
      </c>
      <c r="V178" s="65">
        <f>Таблица1[[#This Row],[Cost(with labour)]]*Таблица1[[#This Row],[Order]]</f>
        <v>1.0050299999999999</v>
      </c>
      <c r="W178" s="67">
        <f>VLOOKUP($A178,'Mean order price'!$B$2:$H$10,7,0)</f>
        <v>10</v>
      </c>
      <c r="X178" s="68">
        <f t="shared" si="23"/>
        <v>0.5</v>
      </c>
    </row>
    <row r="179" spans="1:24">
      <c r="A179" s="53" t="s">
        <v>55</v>
      </c>
      <c r="B179" s="54">
        <f t="shared" si="26"/>
        <v>176</v>
      </c>
      <c r="C179" s="53" t="s">
        <v>38</v>
      </c>
      <c r="D179" s="53" t="s">
        <v>41</v>
      </c>
      <c r="E179" s="59">
        <f>VLOOKUP('Menu and cost - USA by city'!D179,'Menu and cost - Russia'!$D$4:$P$29,2,FALSE)*(VLOOKUP('Menu and cost - USA by city'!A179,COGS!$B$3:$I$10,8,FALSE)/3)*0.4</f>
        <v>2</v>
      </c>
      <c r="F179" s="59">
        <f>SUMPRODUCT(H179:L179,'Mean order price'!$C$9:$G$9)*G179+P179*'Mean order price'!$H$9</f>
        <v>1.3222666666666667</v>
      </c>
      <c r="G179" s="53">
        <v>0.1</v>
      </c>
      <c r="H179" s="60">
        <v>0.2</v>
      </c>
      <c r="I179" s="60">
        <v>0</v>
      </c>
      <c r="J179" s="60">
        <v>0.5</v>
      </c>
      <c r="K179" s="60">
        <v>0</v>
      </c>
      <c r="L179" s="60">
        <v>0.3</v>
      </c>
      <c r="M179" s="60">
        <f t="shared" si="30"/>
        <v>1</v>
      </c>
      <c r="N179" s="61">
        <v>60</v>
      </c>
      <c r="O179" s="62">
        <f t="shared" si="31"/>
        <v>1</v>
      </c>
      <c r="P179" s="62">
        <f t="shared" si="32"/>
        <v>1.6666666666666666E-2</v>
      </c>
      <c r="Q179" s="65">
        <f t="shared" si="24"/>
        <v>0.6777333333333333</v>
      </c>
      <c r="R179" s="66">
        <f>Таблица1[[#This Row],[Profit]]/Таблица1[[#This Row],[Price]]</f>
        <v>0.33886666666666665</v>
      </c>
      <c r="S179" s="60">
        <f>VLOOKUP($A179,'Order Composition'!$B$2:$F$10,MATCH($C179,'Order Composition'!$B$2:$F$2,0),0)</f>
        <v>0.45</v>
      </c>
      <c r="T179" s="65">
        <f t="shared" si="25"/>
        <v>0.30497999999999997</v>
      </c>
      <c r="U179" s="65">
        <f>Таблица1[[#This Row],[Price]]*Таблица1[[#This Row],[Order]]</f>
        <v>0.9</v>
      </c>
      <c r="V179" s="65">
        <f>Таблица1[[#This Row],[Cost(with labour)]]*Таблица1[[#This Row],[Order]]</f>
        <v>0.59501999999999999</v>
      </c>
      <c r="W179" s="67">
        <f>VLOOKUP($A179,'Mean order price'!$B$2:$H$10,7,0)</f>
        <v>10</v>
      </c>
      <c r="X179" s="68">
        <f t="shared" si="23"/>
        <v>0.16666666666666666</v>
      </c>
    </row>
    <row r="180" spans="1:24">
      <c r="A180" s="53" t="s">
        <v>55</v>
      </c>
      <c r="B180" s="54">
        <f t="shared" si="26"/>
        <v>177</v>
      </c>
      <c r="C180" s="53" t="s">
        <v>11</v>
      </c>
      <c r="D180" s="53" t="s">
        <v>42</v>
      </c>
      <c r="E180" s="59">
        <f>VLOOKUP('Menu and cost - USA by city'!D180,'Menu and cost - Russia'!$D$4:$P$29,2,FALSE)*(VLOOKUP('Menu and cost - USA by city'!A180,COGS!$B$3:$I$10,8,FALSE)/3)*0.4</f>
        <v>2</v>
      </c>
      <c r="F180" s="59">
        <f>SUMPRODUCT(H180:L180,'Mean order price'!$C$9:$G$9)*G180+P180*'Mean order price'!$H$9</f>
        <v>1.8233333333333333</v>
      </c>
      <c r="G180" s="53">
        <v>0.2</v>
      </c>
      <c r="H180" s="60">
        <v>0</v>
      </c>
      <c r="I180" s="60">
        <v>0</v>
      </c>
      <c r="J180" s="60">
        <v>0</v>
      </c>
      <c r="K180" s="60">
        <v>1</v>
      </c>
      <c r="L180" s="60">
        <v>0</v>
      </c>
      <c r="M180" s="60">
        <f t="shared" si="30"/>
        <v>1</v>
      </c>
      <c r="N180" s="61">
        <v>120</v>
      </c>
      <c r="O180" s="62">
        <f t="shared" si="31"/>
        <v>0.5</v>
      </c>
      <c r="P180" s="62">
        <f t="shared" si="32"/>
        <v>8.3333333333333332E-3</v>
      </c>
      <c r="Q180" s="65">
        <f t="shared" si="24"/>
        <v>0.17666666666666675</v>
      </c>
      <c r="R180" s="66">
        <f>Таблица1[[#This Row],[Profit]]/Таблица1[[#This Row],[Price]]</f>
        <v>8.8333333333333375E-2</v>
      </c>
      <c r="S180" s="60">
        <f>VLOOKUP($A180,'Order Composition'!$B$2:$F$10,MATCH($C180,'Order Composition'!$B$2:$F$2,0),0)</f>
        <v>0.75</v>
      </c>
      <c r="T180" s="65">
        <f t="shared" si="25"/>
        <v>0.13250000000000006</v>
      </c>
      <c r="U180" s="65">
        <f>Таблица1[[#This Row],[Price]]*Таблица1[[#This Row],[Order]]</f>
        <v>1.5</v>
      </c>
      <c r="V180" s="65">
        <f>Таблица1[[#This Row],[Cost(with labour)]]*Таблица1[[#This Row],[Order]]</f>
        <v>1.3674999999999999</v>
      </c>
      <c r="W180" s="67">
        <f>VLOOKUP($A180,'Mean order price'!$B$2:$H$10,7,0)</f>
        <v>10</v>
      </c>
      <c r="X180" s="68">
        <f t="shared" si="23"/>
        <v>8.3333333333333329E-2</v>
      </c>
    </row>
    <row r="181" spans="1:24">
      <c r="A181" s="53" t="s">
        <v>55</v>
      </c>
      <c r="B181" s="54">
        <f t="shared" si="26"/>
        <v>178</v>
      </c>
      <c r="C181" s="53" t="s">
        <v>11</v>
      </c>
      <c r="D181" s="53" t="s">
        <v>43</v>
      </c>
      <c r="E181" s="59">
        <f>VLOOKUP('Menu and cost - USA by city'!D181,'Menu and cost - Russia'!$D$4:$P$29,2,FALSE)*(VLOOKUP('Menu and cost - USA by city'!A181,COGS!$B$3:$I$10,8,FALSE)/3)*0.4</f>
        <v>2</v>
      </c>
      <c r="F181" s="59">
        <f>SUMPRODUCT(H181:L181,'Mean order price'!$C$9:$G$9)*G181+P181*'Mean order price'!$H$9</f>
        <v>1.8233333333333333</v>
      </c>
      <c r="G181" s="53">
        <v>0.2</v>
      </c>
      <c r="H181" s="60">
        <v>0</v>
      </c>
      <c r="I181" s="60">
        <v>0</v>
      </c>
      <c r="J181" s="60">
        <v>0</v>
      </c>
      <c r="K181" s="60">
        <v>1</v>
      </c>
      <c r="L181" s="60">
        <v>0</v>
      </c>
      <c r="M181" s="60">
        <f t="shared" si="30"/>
        <v>1</v>
      </c>
      <c r="N181" s="61">
        <v>120</v>
      </c>
      <c r="O181" s="62">
        <f t="shared" si="31"/>
        <v>0.5</v>
      </c>
      <c r="P181" s="62">
        <f t="shared" si="32"/>
        <v>8.3333333333333332E-3</v>
      </c>
      <c r="Q181" s="65">
        <f t="shared" si="24"/>
        <v>0.17666666666666675</v>
      </c>
      <c r="R181" s="66">
        <f>Таблица1[[#This Row],[Profit]]/Таблица1[[#This Row],[Price]]</f>
        <v>8.8333333333333375E-2</v>
      </c>
      <c r="S181" s="60">
        <f>VLOOKUP($A181,'Order Composition'!$B$2:$F$10,MATCH($C181,'Order Composition'!$B$2:$F$2,0),0)</f>
        <v>0.75</v>
      </c>
      <c r="T181" s="65">
        <f t="shared" si="25"/>
        <v>0.13250000000000006</v>
      </c>
      <c r="U181" s="65">
        <f>Таблица1[[#This Row],[Price]]*Таблица1[[#This Row],[Order]]</f>
        <v>1.5</v>
      </c>
      <c r="V181" s="65">
        <f>Таблица1[[#This Row],[Cost(with labour)]]*Таблица1[[#This Row],[Order]]</f>
        <v>1.3674999999999999</v>
      </c>
      <c r="W181" s="67">
        <f>VLOOKUP($A181,'Mean order price'!$B$2:$H$10,7,0)</f>
        <v>10</v>
      </c>
      <c r="X181" s="68">
        <f t="shared" si="23"/>
        <v>8.3333333333333329E-2</v>
      </c>
    </row>
    <row r="182" spans="1:24">
      <c r="A182" s="53" t="s">
        <v>55</v>
      </c>
      <c r="B182" s="54">
        <f t="shared" si="26"/>
        <v>179</v>
      </c>
      <c r="C182" s="53" t="s">
        <v>11</v>
      </c>
      <c r="D182" s="53" t="s">
        <v>44</v>
      </c>
      <c r="E182" s="59">
        <f>VLOOKUP('Menu and cost - USA by city'!D182,'Menu and cost - Russia'!$D$4:$P$29,2,FALSE)*(VLOOKUP('Menu and cost - USA by city'!A182,COGS!$B$3:$I$10,8,FALSE)/3)*0.4</f>
        <v>2.666666666666667</v>
      </c>
      <c r="F182" s="59">
        <f>SUMPRODUCT(H182:L182,'Mean order price'!$C$9:$G$9)*G182+P182*'Mean order price'!$H$9</f>
        <v>2.1362666666666663</v>
      </c>
      <c r="G182" s="53">
        <v>0.2</v>
      </c>
      <c r="H182" s="60">
        <v>0</v>
      </c>
      <c r="I182" s="60">
        <v>0</v>
      </c>
      <c r="J182" s="60">
        <v>0.2</v>
      </c>
      <c r="K182" s="60">
        <v>0.8</v>
      </c>
      <c r="L182" s="60">
        <v>0</v>
      </c>
      <c r="M182" s="60">
        <f t="shared" si="30"/>
        <v>1</v>
      </c>
      <c r="N182" s="61">
        <v>60</v>
      </c>
      <c r="O182" s="62">
        <f t="shared" si="31"/>
        <v>1</v>
      </c>
      <c r="P182" s="62">
        <f t="shared" si="32"/>
        <v>1.6666666666666666E-2</v>
      </c>
      <c r="Q182" s="65">
        <f t="shared" si="24"/>
        <v>0.53040000000000065</v>
      </c>
      <c r="R182" s="66">
        <f>Таблица1[[#This Row],[Profit]]/Таблица1[[#This Row],[Price]]</f>
        <v>0.19890000000000022</v>
      </c>
      <c r="S182" s="60">
        <f>VLOOKUP($A182,'Order Composition'!$B$2:$F$10,MATCH($C182,'Order Composition'!$B$2:$F$2,0),0)</f>
        <v>0.75</v>
      </c>
      <c r="T182" s="65">
        <f t="shared" si="25"/>
        <v>0.39780000000000049</v>
      </c>
      <c r="U182" s="65">
        <f>Таблица1[[#This Row],[Price]]*Таблица1[[#This Row],[Order]]</f>
        <v>2</v>
      </c>
      <c r="V182" s="65">
        <f>Таблица1[[#This Row],[Cost(with labour)]]*Таблица1[[#This Row],[Order]]</f>
        <v>1.6021999999999998</v>
      </c>
      <c r="W182" s="67">
        <f>VLOOKUP($A182,'Mean order price'!$B$2:$H$10,7,0)</f>
        <v>10</v>
      </c>
      <c r="X182" s="68">
        <f t="shared" si="23"/>
        <v>0.16666666666666666</v>
      </c>
    </row>
    <row r="183" spans="1:24">
      <c r="A183" s="53" t="s">
        <v>55</v>
      </c>
      <c r="B183" s="54">
        <f t="shared" si="26"/>
        <v>180</v>
      </c>
      <c r="C183" s="53" t="s">
        <v>11</v>
      </c>
      <c r="D183" s="53" t="s">
        <v>45</v>
      </c>
      <c r="E183" s="59">
        <f>VLOOKUP('Menu and cost - USA by city'!D183,'Menu and cost - Russia'!$D$4:$P$29,2,FALSE)*(VLOOKUP('Menu and cost - USA by city'!A183,COGS!$B$3:$I$10,8,FALSE)/3)*0.4</f>
        <v>2.666666666666667</v>
      </c>
      <c r="F183" s="59">
        <f>SUMPRODUCT(H183:L183,'Mean order price'!$C$9:$G$9)*G183+P183*'Mean order price'!$H$9</f>
        <v>2.1362666666666663</v>
      </c>
      <c r="G183" s="53">
        <v>0.2</v>
      </c>
      <c r="H183" s="60">
        <v>0</v>
      </c>
      <c r="I183" s="60">
        <v>0</v>
      </c>
      <c r="J183" s="60">
        <v>0.2</v>
      </c>
      <c r="K183" s="60">
        <v>0.8</v>
      </c>
      <c r="L183" s="60">
        <v>0</v>
      </c>
      <c r="M183" s="60">
        <f t="shared" si="30"/>
        <v>1</v>
      </c>
      <c r="N183" s="61">
        <v>60</v>
      </c>
      <c r="O183" s="62">
        <f t="shared" si="31"/>
        <v>1</v>
      </c>
      <c r="P183" s="62">
        <f t="shared" si="32"/>
        <v>1.6666666666666666E-2</v>
      </c>
      <c r="Q183" s="65">
        <f t="shared" si="24"/>
        <v>0.53040000000000065</v>
      </c>
      <c r="R183" s="66">
        <f>Таблица1[[#This Row],[Profit]]/Таблица1[[#This Row],[Price]]</f>
        <v>0.19890000000000022</v>
      </c>
      <c r="S183" s="60">
        <f>VLOOKUP($A183,'Order Composition'!$B$2:$F$10,MATCH($C183,'Order Composition'!$B$2:$F$2,0),0)</f>
        <v>0.75</v>
      </c>
      <c r="T183" s="65">
        <f t="shared" si="25"/>
        <v>0.39780000000000049</v>
      </c>
      <c r="U183" s="65">
        <f>Таблица1[[#This Row],[Price]]*Таблица1[[#This Row],[Order]]</f>
        <v>2</v>
      </c>
      <c r="V183" s="65">
        <f>Таблица1[[#This Row],[Cost(with labour)]]*Таблица1[[#This Row],[Order]]</f>
        <v>1.6021999999999998</v>
      </c>
      <c r="W183" s="67">
        <f>VLOOKUP($A183,'Mean order price'!$B$2:$H$10,7,0)</f>
        <v>10</v>
      </c>
      <c r="X183" s="68">
        <f t="shared" si="23"/>
        <v>0.16666666666666666</v>
      </c>
    </row>
    <row r="184" spans="1:24">
      <c r="A184" s="53" t="s">
        <v>55</v>
      </c>
      <c r="B184" s="54">
        <f t="shared" si="26"/>
        <v>181</v>
      </c>
      <c r="C184" s="53" t="s">
        <v>11</v>
      </c>
      <c r="D184" s="53" t="s">
        <v>46</v>
      </c>
      <c r="E184" s="59">
        <f>VLOOKUP('Menu and cost - USA by city'!D184,'Menu and cost - Russia'!$D$4:$P$29,2,FALSE)*(VLOOKUP('Menu and cost - USA by city'!A184,COGS!$B$3:$I$10,8,FALSE)/3)*0.4</f>
        <v>2</v>
      </c>
      <c r="F184" s="59">
        <f>SUMPRODUCT(H184:L184,'Mean order price'!$C$9:$G$9)*G184+P184*'Mean order price'!$H$9</f>
        <v>1.99</v>
      </c>
      <c r="G184" s="53">
        <v>0.2</v>
      </c>
      <c r="H184" s="60">
        <v>0</v>
      </c>
      <c r="I184" s="60">
        <v>0</v>
      </c>
      <c r="J184" s="60">
        <v>0</v>
      </c>
      <c r="K184" s="60">
        <v>1</v>
      </c>
      <c r="L184" s="60">
        <v>0</v>
      </c>
      <c r="M184" s="60">
        <f t="shared" si="30"/>
        <v>1</v>
      </c>
      <c r="N184" s="61">
        <v>40</v>
      </c>
      <c r="O184" s="62">
        <f t="shared" si="31"/>
        <v>1.5</v>
      </c>
      <c r="P184" s="62">
        <f t="shared" si="32"/>
        <v>2.5000000000000001E-2</v>
      </c>
      <c r="Q184" s="65">
        <f t="shared" si="24"/>
        <v>1.0000000000000009E-2</v>
      </c>
      <c r="R184" s="66">
        <f>Таблица1[[#This Row],[Profit]]/Таблица1[[#This Row],[Price]]</f>
        <v>5.0000000000000044E-3</v>
      </c>
      <c r="S184" s="60">
        <f>VLOOKUP($A184,'Order Composition'!$B$2:$F$10,MATCH($C184,'Order Composition'!$B$2:$F$2,0),0)</f>
        <v>0.75</v>
      </c>
      <c r="T184" s="65">
        <f t="shared" si="25"/>
        <v>7.5000000000000067E-3</v>
      </c>
      <c r="U184" s="65">
        <f>Таблица1[[#This Row],[Price]]*Таблица1[[#This Row],[Order]]</f>
        <v>1.5</v>
      </c>
      <c r="V184" s="65">
        <f>Таблица1[[#This Row],[Cost(with labour)]]*Таблица1[[#This Row],[Order]]</f>
        <v>1.4924999999999999</v>
      </c>
      <c r="W184" s="67">
        <f>VLOOKUP($A184,'Mean order price'!$B$2:$H$10,7,0)</f>
        <v>10</v>
      </c>
      <c r="X184" s="68">
        <f t="shared" si="23"/>
        <v>0.25</v>
      </c>
    </row>
    <row r="185" spans="1:24">
      <c r="A185" s="53" t="s">
        <v>55</v>
      </c>
      <c r="B185" s="54">
        <f t="shared" si="26"/>
        <v>182</v>
      </c>
      <c r="C185" s="53" t="s">
        <v>11</v>
      </c>
      <c r="D185" s="53" t="s">
        <v>47</v>
      </c>
      <c r="E185" s="59">
        <f>VLOOKUP('Menu and cost - USA by city'!D185,'Menu and cost - Russia'!$D$4:$P$29,2,FALSE)*(VLOOKUP('Menu and cost - USA by city'!A185,COGS!$B$3:$I$10,8,FALSE)/3)*0.4</f>
        <v>2</v>
      </c>
      <c r="F185" s="59">
        <f>SUMPRODUCT(H185:L185,'Mean order price'!$C$9:$G$9)*G185+P185*'Mean order price'!$H$9</f>
        <v>2.1048</v>
      </c>
      <c r="G185" s="53">
        <v>0.2</v>
      </c>
      <c r="H185" s="60">
        <v>0</v>
      </c>
      <c r="I185" s="60">
        <v>0</v>
      </c>
      <c r="J185" s="60">
        <v>0.1</v>
      </c>
      <c r="K185" s="60">
        <v>0.9</v>
      </c>
      <c r="L185" s="60">
        <v>0</v>
      </c>
      <c r="M185" s="60">
        <f t="shared" si="30"/>
        <v>1</v>
      </c>
      <c r="N185" s="61">
        <v>40</v>
      </c>
      <c r="O185" s="62">
        <f t="shared" si="31"/>
        <v>1.5</v>
      </c>
      <c r="P185" s="62">
        <f t="shared" si="32"/>
        <v>2.5000000000000001E-2</v>
      </c>
      <c r="Q185" s="65">
        <f t="shared" si="24"/>
        <v>-0.1048</v>
      </c>
      <c r="R185" s="66">
        <f>Таблица1[[#This Row],[Profit]]/Таблица1[[#This Row],[Price]]</f>
        <v>-5.2400000000000002E-2</v>
      </c>
      <c r="S185" s="60">
        <f>VLOOKUP($A185,'Order Composition'!$B$2:$F$10,MATCH($C185,'Order Composition'!$B$2:$F$2,0),0)</f>
        <v>0.75</v>
      </c>
      <c r="T185" s="65">
        <f t="shared" si="25"/>
        <v>-7.8600000000000003E-2</v>
      </c>
      <c r="U185" s="65">
        <f>Таблица1[[#This Row],[Price]]*Таблица1[[#This Row],[Order]]</f>
        <v>1.5</v>
      </c>
      <c r="V185" s="65">
        <f>Таблица1[[#This Row],[Cost(with labour)]]*Таблица1[[#This Row],[Order]]</f>
        <v>1.5786</v>
      </c>
      <c r="W185" s="67">
        <f>VLOOKUP($A185,'Mean order price'!$B$2:$H$10,7,0)</f>
        <v>10</v>
      </c>
      <c r="X185" s="68">
        <f t="shared" si="23"/>
        <v>0.25</v>
      </c>
    </row>
    <row r="186" spans="1:24">
      <c r="A186" s="53" t="s">
        <v>56</v>
      </c>
      <c r="B186" s="54">
        <f t="shared" si="26"/>
        <v>183</v>
      </c>
      <c r="C186" s="53" t="s">
        <v>19</v>
      </c>
      <c r="D186" s="53" t="s">
        <v>20</v>
      </c>
      <c r="E186" s="59">
        <f>VLOOKUP('Menu and cost - USA by city'!D186,'Menu and cost - Russia'!$D$4:$P$29,2,FALSE)*(VLOOKUP('Menu and cost - USA by city'!A186,COGS!$B$3:$I$10,8,FALSE)/3)*0.4</f>
        <v>5.6000000000000005</v>
      </c>
      <c r="F186" s="59">
        <f>SUMPRODUCT(H186:L186,'Mean order price'!$C$10:$G$10)*G186+P186*'Mean order price'!$H$10</f>
        <v>3.2678000000000003</v>
      </c>
      <c r="G186" s="53">
        <v>0.2</v>
      </c>
      <c r="H186" s="60">
        <v>0</v>
      </c>
      <c r="I186" s="60">
        <v>0</v>
      </c>
      <c r="J186" s="60">
        <v>0.9</v>
      </c>
      <c r="K186" s="60">
        <v>0</v>
      </c>
      <c r="L186" s="60">
        <v>0.1</v>
      </c>
      <c r="M186" s="60">
        <f t="shared" si="30"/>
        <v>1</v>
      </c>
      <c r="N186" s="61">
        <v>20</v>
      </c>
      <c r="O186" s="62">
        <f t="shared" si="31"/>
        <v>3</v>
      </c>
      <c r="P186" s="62">
        <f t="shared" si="32"/>
        <v>0.05</v>
      </c>
      <c r="Q186" s="65">
        <f t="shared" si="24"/>
        <v>2.3322000000000003</v>
      </c>
      <c r="R186" s="66">
        <f>Таблица1[[#This Row],[Profit]]/Таблица1[[#This Row],[Price]]</f>
        <v>0.41646428571428573</v>
      </c>
      <c r="S186" s="60">
        <f>VLOOKUP($A186,'Order Composition'!$B$2:$F$10,MATCH($C186,'Order Composition'!$B$2:$F$2,0),0)</f>
        <v>0.35</v>
      </c>
      <c r="T186" s="65">
        <f t="shared" si="25"/>
        <v>0.81627000000000005</v>
      </c>
      <c r="U186" s="65">
        <f>Таблица1[[#This Row],[Price]]*Таблица1[[#This Row],[Order]]</f>
        <v>1.96</v>
      </c>
      <c r="V186" s="65">
        <f>Таблица1[[#This Row],[Cost(with labour)]]*Таблица1[[#This Row],[Order]]</f>
        <v>1.1437299999999999</v>
      </c>
      <c r="W186" s="67">
        <f>VLOOKUP($A186,'Mean order price'!$B$2:$H$10,7,0)</f>
        <v>14</v>
      </c>
      <c r="X186" s="68">
        <f t="shared" si="23"/>
        <v>0.70000000000000007</v>
      </c>
    </row>
    <row r="187" spans="1:24">
      <c r="A187" s="53" t="s">
        <v>56</v>
      </c>
      <c r="B187" s="54">
        <f t="shared" si="26"/>
        <v>184</v>
      </c>
      <c r="C187" s="53" t="s">
        <v>19</v>
      </c>
      <c r="D187" s="53" t="s">
        <v>21</v>
      </c>
      <c r="E187" s="59">
        <f>VLOOKUP('Menu and cost - USA by city'!D187,'Menu and cost - Russia'!$D$4:$P$29,2,FALSE)*(VLOOKUP('Menu and cost - USA by city'!A187,COGS!$B$3:$I$10,8,FALSE)/3)*0.4</f>
        <v>5.6000000000000005</v>
      </c>
      <c r="F187" s="59">
        <f>SUMPRODUCT(H187:L187,'Mean order price'!$C$10:$G$10)*G187+P187*'Mean order price'!$H$10</f>
        <v>3.2998000000000003</v>
      </c>
      <c r="G187" s="53">
        <v>0.2</v>
      </c>
      <c r="H187" s="60">
        <v>0</v>
      </c>
      <c r="I187" s="60">
        <v>0.2</v>
      </c>
      <c r="J187" s="60">
        <v>0.7</v>
      </c>
      <c r="K187" s="60">
        <v>0</v>
      </c>
      <c r="L187" s="60">
        <v>0.1</v>
      </c>
      <c r="M187" s="60">
        <f t="shared" ref="M187:M211" si="33">SUM(H187:L187)</f>
        <v>0.99999999999999989</v>
      </c>
      <c r="N187" s="61">
        <v>20</v>
      </c>
      <c r="O187" s="62">
        <f t="shared" ref="O187:O211" si="34">60/N187</f>
        <v>3</v>
      </c>
      <c r="P187" s="62">
        <f t="shared" ref="P187:P211" si="35">O187/60</f>
        <v>0.05</v>
      </c>
      <c r="Q187" s="65">
        <f t="shared" si="24"/>
        <v>2.3002000000000002</v>
      </c>
      <c r="R187" s="66">
        <f>Таблица1[[#This Row],[Profit]]/Таблица1[[#This Row],[Price]]</f>
        <v>0.41075</v>
      </c>
      <c r="S187" s="60">
        <f>VLOOKUP($A187,'Order Composition'!$B$2:$F$10,MATCH($C187,'Order Composition'!$B$2:$F$2,0),0)</f>
        <v>0.35</v>
      </c>
      <c r="T187" s="65">
        <f t="shared" si="25"/>
        <v>0.80507000000000006</v>
      </c>
      <c r="U187" s="65">
        <f>Таблица1[[#This Row],[Price]]*Таблица1[[#This Row],[Order]]</f>
        <v>1.96</v>
      </c>
      <c r="V187" s="65">
        <f>Таблица1[[#This Row],[Cost(with labour)]]*Таблица1[[#This Row],[Order]]</f>
        <v>1.15493</v>
      </c>
      <c r="W187" s="67">
        <f>VLOOKUP($A187,'Mean order price'!$B$2:$H$10,7,0)</f>
        <v>14</v>
      </c>
      <c r="X187" s="68">
        <f t="shared" si="23"/>
        <v>0.70000000000000007</v>
      </c>
    </row>
    <row r="188" spans="1:24">
      <c r="A188" s="53" t="s">
        <v>56</v>
      </c>
      <c r="B188" s="54">
        <f t="shared" si="26"/>
        <v>185</v>
      </c>
      <c r="C188" s="53" t="s">
        <v>19</v>
      </c>
      <c r="D188" s="53" t="s">
        <v>22</v>
      </c>
      <c r="E188" s="59">
        <f>VLOOKUP('Menu and cost - USA by city'!D188,'Menu and cost - Russia'!$D$4:$P$29,2,FALSE)*(VLOOKUP('Menu and cost - USA by city'!A188,COGS!$B$3:$I$10,8,FALSE)/3)*0.4</f>
        <v>5.6000000000000005</v>
      </c>
      <c r="F188" s="59">
        <f>SUMPRODUCT(H188:L188,'Mean order price'!$C$10:$G$10)*G188+P188*'Mean order price'!$H$10</f>
        <v>3.3478000000000003</v>
      </c>
      <c r="G188" s="53">
        <v>0.2</v>
      </c>
      <c r="H188" s="60">
        <v>0</v>
      </c>
      <c r="I188" s="60">
        <v>0.5</v>
      </c>
      <c r="J188" s="60">
        <v>0.4</v>
      </c>
      <c r="K188" s="60">
        <v>0</v>
      </c>
      <c r="L188" s="60">
        <v>0.1</v>
      </c>
      <c r="M188" s="60">
        <f t="shared" si="33"/>
        <v>1</v>
      </c>
      <c r="N188" s="61">
        <v>20</v>
      </c>
      <c r="O188" s="62">
        <f t="shared" si="34"/>
        <v>3</v>
      </c>
      <c r="P188" s="62">
        <f t="shared" si="35"/>
        <v>0.05</v>
      </c>
      <c r="Q188" s="65">
        <f t="shared" si="24"/>
        <v>2.2522000000000002</v>
      </c>
      <c r="R188" s="66">
        <f>Таблица1[[#This Row],[Profit]]/Таблица1[[#This Row],[Price]]</f>
        <v>0.40217857142857144</v>
      </c>
      <c r="S188" s="60">
        <f>VLOOKUP($A188,'Order Composition'!$B$2:$F$10,MATCH($C188,'Order Composition'!$B$2:$F$2,0),0)</f>
        <v>0.35</v>
      </c>
      <c r="T188" s="65">
        <f t="shared" si="25"/>
        <v>0.78827000000000003</v>
      </c>
      <c r="U188" s="65">
        <f>Таблица1[[#This Row],[Price]]*Таблица1[[#This Row],[Order]]</f>
        <v>1.96</v>
      </c>
      <c r="V188" s="65">
        <f>Таблица1[[#This Row],[Cost(with labour)]]*Таблица1[[#This Row],[Order]]</f>
        <v>1.1717299999999999</v>
      </c>
      <c r="W188" s="67">
        <f>VLOOKUP($A188,'Mean order price'!$B$2:$H$10,7,0)</f>
        <v>14</v>
      </c>
      <c r="X188" s="68">
        <f t="shared" si="23"/>
        <v>0.70000000000000007</v>
      </c>
    </row>
    <row r="189" spans="1:24">
      <c r="A189" s="53" t="s">
        <v>56</v>
      </c>
      <c r="B189" s="54">
        <f t="shared" si="26"/>
        <v>186</v>
      </c>
      <c r="C189" s="53" t="s">
        <v>19</v>
      </c>
      <c r="D189" s="53" t="s">
        <v>23</v>
      </c>
      <c r="E189" s="59">
        <f>VLOOKUP('Menu and cost - USA by city'!D189,'Menu and cost - Russia'!$D$4:$P$29,2,FALSE)*(VLOOKUP('Menu and cost - USA by city'!A189,COGS!$B$3:$I$10,8,FALSE)/3)*0.4</f>
        <v>3.7333333333333338</v>
      </c>
      <c r="F189" s="59">
        <f>SUMPRODUCT(H189:L189,'Mean order price'!$C$10:$G$10)*G189+P189*'Mean order price'!$H$10</f>
        <v>2.183133333333334</v>
      </c>
      <c r="G189" s="53">
        <v>0.2</v>
      </c>
      <c r="H189" s="60">
        <v>0.1</v>
      </c>
      <c r="I189" s="60">
        <v>0</v>
      </c>
      <c r="J189" s="60">
        <v>0.4</v>
      </c>
      <c r="K189" s="60">
        <v>0.1</v>
      </c>
      <c r="L189" s="60">
        <v>0.4</v>
      </c>
      <c r="M189" s="60">
        <f t="shared" si="33"/>
        <v>1</v>
      </c>
      <c r="N189" s="61">
        <v>60</v>
      </c>
      <c r="O189" s="62">
        <f t="shared" si="34"/>
        <v>1</v>
      </c>
      <c r="P189" s="62">
        <f t="shared" si="35"/>
        <v>1.6666666666666666E-2</v>
      </c>
      <c r="Q189" s="65">
        <f t="shared" si="24"/>
        <v>1.5501999999999998</v>
      </c>
      <c r="R189" s="66">
        <f>Таблица1[[#This Row],[Profit]]/Таблица1[[#This Row],[Price]]</f>
        <v>0.41523214285714277</v>
      </c>
      <c r="S189" s="60">
        <f>VLOOKUP($A189,'Order Composition'!$B$2:$F$10,MATCH($C189,'Order Composition'!$B$2:$F$2,0),0)</f>
        <v>0.35</v>
      </c>
      <c r="T189" s="65">
        <f t="shared" si="25"/>
        <v>0.54256999999999989</v>
      </c>
      <c r="U189" s="65">
        <f>Таблица1[[#This Row],[Price]]*Таблица1[[#This Row],[Order]]</f>
        <v>1.3066666666666669</v>
      </c>
      <c r="V189" s="65">
        <f>Таблица1[[#This Row],[Cost(with labour)]]*Таблица1[[#This Row],[Order]]</f>
        <v>0.76409666666666687</v>
      </c>
      <c r="W189" s="67">
        <f>VLOOKUP($A189,'Mean order price'!$B$2:$H$10,7,0)</f>
        <v>14</v>
      </c>
      <c r="X189" s="68">
        <f t="shared" si="23"/>
        <v>0.23333333333333334</v>
      </c>
    </row>
    <row r="190" spans="1:24">
      <c r="A190" s="53" t="s">
        <v>56</v>
      </c>
      <c r="B190" s="54">
        <f t="shared" si="26"/>
        <v>187</v>
      </c>
      <c r="C190" s="53" t="s">
        <v>19</v>
      </c>
      <c r="D190" s="53" t="s">
        <v>24</v>
      </c>
      <c r="E190" s="59">
        <f>VLOOKUP('Menu and cost - USA by city'!D190,'Menu and cost - Russia'!$D$4:$P$29,2,FALSE)*(VLOOKUP('Menu and cost - USA by city'!A190,COGS!$B$3:$I$10,8,FALSE)/3)*0.4</f>
        <v>3.7333333333333338</v>
      </c>
      <c r="F190" s="59">
        <f>SUMPRODUCT(H190:L190,'Mean order price'!$C$10:$G$10)*G190+P190*'Mean order price'!$H$10</f>
        <v>2.3573333333333335</v>
      </c>
      <c r="G190" s="53">
        <v>0.2</v>
      </c>
      <c r="H190" s="60">
        <v>0.1</v>
      </c>
      <c r="I190" s="60">
        <v>0.2</v>
      </c>
      <c r="J190" s="60">
        <v>0.3</v>
      </c>
      <c r="K190" s="60">
        <v>0.1</v>
      </c>
      <c r="L190" s="60">
        <v>0.3</v>
      </c>
      <c r="M190" s="60">
        <f t="shared" si="33"/>
        <v>1</v>
      </c>
      <c r="N190" s="61">
        <v>60</v>
      </c>
      <c r="O190" s="62">
        <f t="shared" si="34"/>
        <v>1</v>
      </c>
      <c r="P190" s="62">
        <f t="shared" si="35"/>
        <v>1.6666666666666666E-2</v>
      </c>
      <c r="Q190" s="65">
        <f t="shared" si="24"/>
        <v>1.3760000000000003</v>
      </c>
      <c r="R190" s="66">
        <f>Таблица1[[#This Row],[Profit]]/Таблица1[[#This Row],[Price]]</f>
        <v>0.36857142857142861</v>
      </c>
      <c r="S190" s="60">
        <f>VLOOKUP($A190,'Order Composition'!$B$2:$F$10,MATCH($C190,'Order Composition'!$B$2:$F$2,0),0)</f>
        <v>0.35</v>
      </c>
      <c r="T190" s="65">
        <f t="shared" si="25"/>
        <v>0.48160000000000008</v>
      </c>
      <c r="U190" s="65">
        <f>Таблица1[[#This Row],[Price]]*Таблица1[[#This Row],[Order]]</f>
        <v>1.3066666666666669</v>
      </c>
      <c r="V190" s="65">
        <f>Таблица1[[#This Row],[Cost(with labour)]]*Таблица1[[#This Row],[Order]]</f>
        <v>0.82506666666666673</v>
      </c>
      <c r="W190" s="67">
        <f>VLOOKUP($A190,'Mean order price'!$B$2:$H$10,7,0)</f>
        <v>14</v>
      </c>
      <c r="X190" s="68">
        <f t="shared" si="23"/>
        <v>0.23333333333333334</v>
      </c>
    </row>
    <row r="191" spans="1:24">
      <c r="A191" s="53" t="s">
        <v>56</v>
      </c>
      <c r="B191" s="54">
        <f t="shared" si="26"/>
        <v>188</v>
      </c>
      <c r="C191" s="53" t="s">
        <v>19</v>
      </c>
      <c r="D191" s="53" t="s">
        <v>25</v>
      </c>
      <c r="E191" s="59">
        <f>VLOOKUP('Menu and cost - USA by city'!D191,'Menu and cost - Russia'!$D$4:$P$29,2,FALSE)*(VLOOKUP('Menu and cost - USA by city'!A191,COGS!$B$3:$I$10,8,FALSE)/3)*0.4</f>
        <v>1.8666666666666669</v>
      </c>
      <c r="F191" s="59">
        <f>SUMPRODUCT(H191:L191,'Mean order price'!$C$10:$G$10)*G191+P191*'Mean order price'!$H$10</f>
        <v>1.6814166666666672</v>
      </c>
      <c r="G191" s="53">
        <v>0.1</v>
      </c>
      <c r="H191" s="60">
        <v>0.1</v>
      </c>
      <c r="I191" s="60">
        <v>0</v>
      </c>
      <c r="J191" s="60">
        <v>0.75</v>
      </c>
      <c r="K191" s="60">
        <v>0.05</v>
      </c>
      <c r="L191" s="60">
        <v>0.1</v>
      </c>
      <c r="M191" s="60">
        <f t="shared" si="33"/>
        <v>1</v>
      </c>
      <c r="N191" s="61">
        <v>30</v>
      </c>
      <c r="O191" s="62">
        <f t="shared" si="34"/>
        <v>2</v>
      </c>
      <c r="P191" s="62">
        <f t="shared" si="35"/>
        <v>3.3333333333333333E-2</v>
      </c>
      <c r="Q191" s="65">
        <f t="shared" si="24"/>
        <v>0.18524999999999969</v>
      </c>
      <c r="R191" s="66">
        <f>Таблица1[[#This Row],[Profit]]/Таблица1[[#This Row],[Price]]</f>
        <v>9.9241071428571248E-2</v>
      </c>
      <c r="S191" s="60">
        <f>VLOOKUP($A191,'Order Composition'!$B$2:$F$10,MATCH($C191,'Order Composition'!$B$2:$F$2,0),0)</f>
        <v>0.35</v>
      </c>
      <c r="T191" s="65">
        <f t="shared" si="25"/>
        <v>6.4837499999999895E-2</v>
      </c>
      <c r="U191" s="65">
        <f>Таблица1[[#This Row],[Price]]*Таблица1[[#This Row],[Order]]</f>
        <v>0.65333333333333343</v>
      </c>
      <c r="V191" s="65">
        <f>Таблица1[[#This Row],[Cost(with labour)]]*Таблица1[[#This Row],[Order]]</f>
        <v>0.58849583333333344</v>
      </c>
      <c r="W191" s="67">
        <f>VLOOKUP($A191,'Mean order price'!$B$2:$H$10,7,0)</f>
        <v>14</v>
      </c>
      <c r="X191" s="68">
        <f t="shared" si="23"/>
        <v>0.46666666666666667</v>
      </c>
    </row>
    <row r="192" spans="1:24">
      <c r="A192" s="53" t="s">
        <v>56</v>
      </c>
      <c r="B192" s="54">
        <f t="shared" si="26"/>
        <v>189</v>
      </c>
      <c r="C192" s="53" t="s">
        <v>19</v>
      </c>
      <c r="D192" s="53" t="s">
        <v>26</v>
      </c>
      <c r="E192" s="59">
        <f>VLOOKUP('Menu and cost - USA by city'!D192,'Menu and cost - Russia'!$D$4:$P$29,2,FALSE)*(VLOOKUP('Menu and cost - USA by city'!A192,COGS!$B$3:$I$10,8,FALSE)/3)*0.4</f>
        <v>1.8666666666666669</v>
      </c>
      <c r="F192" s="59">
        <f>SUMPRODUCT(H192:L192,'Mean order price'!$C$10:$G$10)*G192+P192*'Mean order price'!$H$10</f>
        <v>1.7214166666666668</v>
      </c>
      <c r="G192" s="53">
        <v>0.1</v>
      </c>
      <c r="H192" s="60">
        <v>0.1</v>
      </c>
      <c r="I192" s="60">
        <v>0.5</v>
      </c>
      <c r="J192" s="60">
        <v>0.25</v>
      </c>
      <c r="K192" s="60">
        <v>0.05</v>
      </c>
      <c r="L192" s="60">
        <v>0.1</v>
      </c>
      <c r="M192" s="60">
        <f t="shared" si="33"/>
        <v>1</v>
      </c>
      <c r="N192" s="61">
        <v>30</v>
      </c>
      <c r="O192" s="62">
        <f t="shared" si="34"/>
        <v>2</v>
      </c>
      <c r="P192" s="62">
        <f t="shared" si="35"/>
        <v>3.3333333333333333E-2</v>
      </c>
      <c r="Q192" s="65">
        <f t="shared" si="24"/>
        <v>0.1452500000000001</v>
      </c>
      <c r="R192" s="66">
        <f>Таблица1[[#This Row],[Profit]]/Таблица1[[#This Row],[Price]]</f>
        <v>7.7812500000000048E-2</v>
      </c>
      <c r="S192" s="60">
        <f>VLOOKUP($A192,'Order Composition'!$B$2:$F$10,MATCH($C192,'Order Composition'!$B$2:$F$2,0),0)</f>
        <v>0.35</v>
      </c>
      <c r="T192" s="65">
        <f t="shared" si="25"/>
        <v>5.0837500000000035E-2</v>
      </c>
      <c r="U192" s="65">
        <f>Таблица1[[#This Row],[Price]]*Таблица1[[#This Row],[Order]]</f>
        <v>0.65333333333333343</v>
      </c>
      <c r="V192" s="65">
        <f>Таблица1[[#This Row],[Cost(with labour)]]*Таблица1[[#This Row],[Order]]</f>
        <v>0.60249583333333334</v>
      </c>
      <c r="W192" s="67">
        <f>VLOOKUP($A192,'Mean order price'!$B$2:$H$10,7,0)</f>
        <v>14</v>
      </c>
      <c r="X192" s="68">
        <f t="shared" si="23"/>
        <v>0.46666666666666667</v>
      </c>
    </row>
    <row r="193" spans="1:24">
      <c r="A193" s="53" t="s">
        <v>56</v>
      </c>
      <c r="B193" s="54">
        <f t="shared" si="26"/>
        <v>190</v>
      </c>
      <c r="C193" s="53" t="s">
        <v>27</v>
      </c>
      <c r="D193" s="53" t="s">
        <v>28</v>
      </c>
      <c r="E193" s="59">
        <f>VLOOKUP('Menu and cost - USA by city'!D193,'Menu and cost - Russia'!$D$4:$P$29,2,FALSE)*(VLOOKUP('Menu and cost - USA by city'!A193,COGS!$B$3:$I$10,8,FALSE)/3)*0.4</f>
        <v>5.6000000000000005</v>
      </c>
      <c r="F193" s="59">
        <f>SUMPRODUCT(H193:L193,'Mean order price'!$C$10:$G$10)*G193+P193*'Mean order price'!$H$10</f>
        <v>3.3628333333333345</v>
      </c>
      <c r="G193" s="53">
        <v>0.2</v>
      </c>
      <c r="H193" s="60">
        <v>0.1</v>
      </c>
      <c r="I193" s="60">
        <v>0</v>
      </c>
      <c r="J193" s="60">
        <v>0.75</v>
      </c>
      <c r="K193" s="60">
        <v>0.05</v>
      </c>
      <c r="L193" s="60">
        <v>0.1</v>
      </c>
      <c r="M193" s="60">
        <f t="shared" si="33"/>
        <v>1</v>
      </c>
      <c r="N193" s="61">
        <v>15</v>
      </c>
      <c r="O193" s="62">
        <f t="shared" si="34"/>
        <v>4</v>
      </c>
      <c r="P193" s="62">
        <f t="shared" si="35"/>
        <v>6.6666666666666666E-2</v>
      </c>
      <c r="Q193" s="65">
        <f t="shared" si="24"/>
        <v>2.2371666666666661</v>
      </c>
      <c r="R193" s="66">
        <f>Таблица1[[#This Row],[Profit]]/Таблица1[[#This Row],[Price]]</f>
        <v>0.3994940476190475</v>
      </c>
      <c r="S193" s="60">
        <f>VLOOKUP($A193,'Order Composition'!$B$2:$F$10,MATCH($C193,'Order Composition'!$B$2:$F$2,0),0)</f>
        <v>0.8</v>
      </c>
      <c r="T193" s="65">
        <f t="shared" si="25"/>
        <v>1.789733333333333</v>
      </c>
      <c r="U193" s="65">
        <f>Таблица1[[#This Row],[Price]]*Таблица1[[#This Row],[Order]]</f>
        <v>4.4800000000000004</v>
      </c>
      <c r="V193" s="65">
        <f>Таблица1[[#This Row],[Cost(with labour)]]*Таблица1[[#This Row],[Order]]</f>
        <v>2.6902666666666679</v>
      </c>
      <c r="W193" s="67">
        <f>VLOOKUP($A193,'Mean order price'!$B$2:$H$10,7,0)</f>
        <v>14</v>
      </c>
      <c r="X193" s="68">
        <f t="shared" si="23"/>
        <v>0.93333333333333335</v>
      </c>
    </row>
    <row r="194" spans="1:24">
      <c r="A194" s="53" t="s">
        <v>56</v>
      </c>
      <c r="B194" s="54">
        <f t="shared" si="26"/>
        <v>191</v>
      </c>
      <c r="C194" s="53" t="s">
        <v>27</v>
      </c>
      <c r="D194" s="53" t="s">
        <v>29</v>
      </c>
      <c r="E194" s="59">
        <f>VLOOKUP('Menu and cost - USA by city'!D194,'Menu and cost - Russia'!$D$4:$P$29,2,FALSE)*(VLOOKUP('Menu and cost - USA by city'!A194,COGS!$B$3:$I$10,8,FALSE)/3)*0.4</f>
        <v>5.6000000000000005</v>
      </c>
      <c r="F194" s="59">
        <f>SUMPRODUCT(H194:L194,'Mean order price'!$C$10:$G$10)*G194+P194*'Mean order price'!$H$10</f>
        <v>4.3219833333333337</v>
      </c>
      <c r="G194" s="53">
        <v>0.3</v>
      </c>
      <c r="H194" s="60">
        <v>0.3</v>
      </c>
      <c r="I194" s="60">
        <v>0</v>
      </c>
      <c r="J194" s="60">
        <v>0.55000000000000004</v>
      </c>
      <c r="K194" s="60">
        <v>0.05</v>
      </c>
      <c r="L194" s="60">
        <v>0.1</v>
      </c>
      <c r="M194" s="60">
        <f t="shared" si="33"/>
        <v>1.0000000000000002</v>
      </c>
      <c r="N194" s="61">
        <v>15</v>
      </c>
      <c r="O194" s="62">
        <f t="shared" si="34"/>
        <v>4</v>
      </c>
      <c r="P194" s="62">
        <f t="shared" si="35"/>
        <v>6.6666666666666666E-2</v>
      </c>
      <c r="Q194" s="65">
        <f t="shared" si="24"/>
        <v>1.2780166666666668</v>
      </c>
      <c r="R194" s="66">
        <f>Таблица1[[#This Row],[Profit]]/Таблица1[[#This Row],[Price]]</f>
        <v>0.22821726190476191</v>
      </c>
      <c r="S194" s="60">
        <f>VLOOKUP($A194,'Order Composition'!$B$2:$F$10,MATCH($C194,'Order Composition'!$B$2:$F$2,0),0)</f>
        <v>0.8</v>
      </c>
      <c r="T194" s="65">
        <f t="shared" si="25"/>
        <v>1.0224133333333334</v>
      </c>
      <c r="U194" s="65">
        <f>Таблица1[[#This Row],[Price]]*Таблица1[[#This Row],[Order]]</f>
        <v>4.4800000000000004</v>
      </c>
      <c r="V194" s="65">
        <f>Таблица1[[#This Row],[Cost(with labour)]]*Таблица1[[#This Row],[Order]]</f>
        <v>3.4575866666666673</v>
      </c>
      <c r="W194" s="67">
        <f>VLOOKUP($A194,'Mean order price'!$B$2:$H$10,7,0)</f>
        <v>14</v>
      </c>
      <c r="X194" s="68">
        <f t="shared" si="23"/>
        <v>0.93333333333333335</v>
      </c>
    </row>
    <row r="195" spans="1:24">
      <c r="A195" s="53" t="s">
        <v>56</v>
      </c>
      <c r="B195" s="54">
        <f t="shared" si="26"/>
        <v>192</v>
      </c>
      <c r="C195" s="53" t="s">
        <v>27</v>
      </c>
      <c r="D195" s="53" t="s">
        <v>30</v>
      </c>
      <c r="E195" s="59">
        <f>VLOOKUP('Menu and cost - USA by city'!D195,'Menu and cost - Russia'!$D$4:$P$29,2,FALSE)*(VLOOKUP('Menu and cost - USA by city'!A195,COGS!$B$3:$I$10,8,FALSE)/3)*0.4</f>
        <v>5.6000000000000005</v>
      </c>
      <c r="F195" s="59">
        <f>SUMPRODUCT(H195:L195,'Mean order price'!$C$10:$G$10)*G195+P195*'Mean order price'!$H$10</f>
        <v>4.6375833333333336</v>
      </c>
      <c r="G195" s="53">
        <v>0.3</v>
      </c>
      <c r="H195" s="60">
        <v>0.1</v>
      </c>
      <c r="I195" s="60">
        <v>0.25</v>
      </c>
      <c r="J195" s="60">
        <v>0.5</v>
      </c>
      <c r="K195" s="60">
        <v>0.05</v>
      </c>
      <c r="L195" s="60">
        <v>0.1</v>
      </c>
      <c r="M195" s="60">
        <f t="shared" si="33"/>
        <v>1</v>
      </c>
      <c r="N195" s="61">
        <v>15</v>
      </c>
      <c r="O195" s="62">
        <f t="shared" si="34"/>
        <v>4</v>
      </c>
      <c r="P195" s="62">
        <f t="shared" si="35"/>
        <v>6.6666666666666666E-2</v>
      </c>
      <c r="Q195" s="65">
        <f t="shared" si="24"/>
        <v>0.96241666666666692</v>
      </c>
      <c r="R195" s="66">
        <f>Таблица1[[#This Row],[Profit]]/Таблица1[[#This Row],[Price]]</f>
        <v>0.17186011904761908</v>
      </c>
      <c r="S195" s="60">
        <f>VLOOKUP($A195,'Order Composition'!$B$2:$F$10,MATCH($C195,'Order Composition'!$B$2:$F$2,0),0)</f>
        <v>0.8</v>
      </c>
      <c r="T195" s="65">
        <f t="shared" si="25"/>
        <v>0.76993333333333358</v>
      </c>
      <c r="U195" s="65">
        <f>Таблица1[[#This Row],[Price]]*Таблица1[[#This Row],[Order]]</f>
        <v>4.4800000000000004</v>
      </c>
      <c r="V195" s="65">
        <f>Таблица1[[#This Row],[Cost(with labour)]]*Таблица1[[#This Row],[Order]]</f>
        <v>3.7100666666666671</v>
      </c>
      <c r="W195" s="67">
        <f>VLOOKUP($A195,'Mean order price'!$B$2:$H$10,7,0)</f>
        <v>14</v>
      </c>
      <c r="X195" s="68">
        <f t="shared" si="23"/>
        <v>0.93333333333333335</v>
      </c>
    </row>
    <row r="196" spans="1:24">
      <c r="A196" s="53" t="s">
        <v>56</v>
      </c>
      <c r="B196" s="54">
        <f t="shared" si="26"/>
        <v>193</v>
      </c>
      <c r="C196" s="53" t="s">
        <v>27</v>
      </c>
      <c r="D196" s="53" t="s">
        <v>31</v>
      </c>
      <c r="E196" s="59">
        <f>VLOOKUP('Menu and cost - USA by city'!D196,'Menu and cost - Russia'!$D$4:$P$29,2,FALSE)*(VLOOKUP('Menu and cost - USA by city'!A196,COGS!$B$3:$I$10,8,FALSE)/3)*0.4</f>
        <v>5.6000000000000005</v>
      </c>
      <c r="F196" s="59">
        <f>SUMPRODUCT(H196:L196,'Mean order price'!$C$10:$G$10)*G196+P196*'Mean order price'!$H$10</f>
        <v>3.8083000000000009</v>
      </c>
      <c r="G196" s="53">
        <v>0.2</v>
      </c>
      <c r="H196" s="60">
        <v>0.2</v>
      </c>
      <c r="I196" s="60">
        <v>0.4</v>
      </c>
      <c r="J196" s="60">
        <v>0.25</v>
      </c>
      <c r="K196" s="60">
        <v>0.05</v>
      </c>
      <c r="L196" s="60">
        <v>0.1</v>
      </c>
      <c r="M196" s="60">
        <f t="shared" si="33"/>
        <v>1.0000000000000002</v>
      </c>
      <c r="N196" s="61">
        <v>10</v>
      </c>
      <c r="O196" s="62">
        <f t="shared" si="34"/>
        <v>6</v>
      </c>
      <c r="P196" s="62">
        <f t="shared" si="35"/>
        <v>0.1</v>
      </c>
      <c r="Q196" s="65">
        <f t="shared" si="24"/>
        <v>1.7916999999999996</v>
      </c>
      <c r="R196" s="66">
        <f>Таблица1[[#This Row],[Profit]]/Таблица1[[#This Row],[Price]]</f>
        <v>0.31994642857142847</v>
      </c>
      <c r="S196" s="60">
        <f>VLOOKUP($A196,'Order Composition'!$B$2:$F$10,MATCH($C196,'Order Composition'!$B$2:$F$2,0),0)</f>
        <v>0.8</v>
      </c>
      <c r="T196" s="65">
        <f t="shared" si="25"/>
        <v>1.4333599999999997</v>
      </c>
      <c r="U196" s="65">
        <f>Таблица1[[#This Row],[Price]]*Таблица1[[#This Row],[Order]]</f>
        <v>4.4800000000000004</v>
      </c>
      <c r="V196" s="65">
        <f>Таблица1[[#This Row],[Cost(with labour)]]*Таблица1[[#This Row],[Order]]</f>
        <v>3.0466400000000009</v>
      </c>
      <c r="W196" s="67">
        <f>VLOOKUP($A196,'Mean order price'!$B$2:$H$10,7,0)</f>
        <v>14</v>
      </c>
      <c r="X196" s="68">
        <f t="shared" ref="X196:X211" si="36">W196*P196</f>
        <v>1.4000000000000001</v>
      </c>
    </row>
    <row r="197" spans="1:24">
      <c r="A197" s="53" t="s">
        <v>56</v>
      </c>
      <c r="B197" s="54">
        <f t="shared" si="26"/>
        <v>194</v>
      </c>
      <c r="C197" s="53" t="s">
        <v>27</v>
      </c>
      <c r="D197" s="53" t="s">
        <v>32</v>
      </c>
      <c r="E197" s="59">
        <f>VLOOKUP('Menu and cost - USA by city'!D197,'Menu and cost - Russia'!$D$4:$P$29,2,FALSE)*(VLOOKUP('Menu and cost - USA by city'!A197,COGS!$B$3:$I$10,8,FALSE)/3)*0.4</f>
        <v>7.4666666666666677</v>
      </c>
      <c r="F197" s="59">
        <f>SUMPRODUCT(H197:L197,'Mean order price'!$C$10:$G$10)*G197+P197*'Mean order price'!$H$10</f>
        <v>5.0604500000000003</v>
      </c>
      <c r="G197" s="53">
        <v>0.3</v>
      </c>
      <c r="H197" s="60">
        <v>0.2</v>
      </c>
      <c r="I197" s="60">
        <v>0.6</v>
      </c>
      <c r="J197" s="60">
        <v>0.05</v>
      </c>
      <c r="K197" s="60">
        <v>0.05</v>
      </c>
      <c r="L197" s="60">
        <v>0.1</v>
      </c>
      <c r="M197" s="60">
        <f t="shared" si="33"/>
        <v>1.0000000000000002</v>
      </c>
      <c r="N197" s="61">
        <v>10</v>
      </c>
      <c r="O197" s="62">
        <f t="shared" si="34"/>
        <v>6</v>
      </c>
      <c r="P197" s="62">
        <f t="shared" si="35"/>
        <v>0.1</v>
      </c>
      <c r="Q197" s="65">
        <f t="shared" ref="Q197:Q211" si="37">E197-F197</f>
        <v>2.4062166666666673</v>
      </c>
      <c r="R197" s="66">
        <f>Таблица1[[#This Row],[Profit]]/Таблица1[[#This Row],[Price]]</f>
        <v>0.32226116071428579</v>
      </c>
      <c r="S197" s="60">
        <f>VLOOKUP($A197,'Order Composition'!$B$2:$F$10,MATCH($C197,'Order Composition'!$B$2:$F$2,0),0)</f>
        <v>0.8</v>
      </c>
      <c r="T197" s="65">
        <f t="shared" ref="T197:T211" si="38">S197*Q197</f>
        <v>1.9249733333333339</v>
      </c>
      <c r="U197" s="65">
        <f>Таблица1[[#This Row],[Price]]*Таблица1[[#This Row],[Order]]</f>
        <v>5.9733333333333345</v>
      </c>
      <c r="V197" s="65">
        <f>Таблица1[[#This Row],[Cost(with labour)]]*Таблица1[[#This Row],[Order]]</f>
        <v>4.0483600000000006</v>
      </c>
      <c r="W197" s="67">
        <f>VLOOKUP($A197,'Mean order price'!$B$2:$H$10,7,0)</f>
        <v>14</v>
      </c>
      <c r="X197" s="68">
        <f t="shared" si="36"/>
        <v>1.4000000000000001</v>
      </c>
    </row>
    <row r="198" spans="1:24">
      <c r="A198" s="53" t="s">
        <v>56</v>
      </c>
      <c r="B198" s="54">
        <f t="shared" ref="B198:B211" si="39">B197+1</f>
        <v>195</v>
      </c>
      <c r="C198" s="53" t="s">
        <v>27</v>
      </c>
      <c r="D198" s="53" t="s">
        <v>33</v>
      </c>
      <c r="E198" s="59">
        <f>VLOOKUP('Menu and cost - USA by city'!D198,'Menu and cost - Russia'!$D$4:$P$29,2,FALSE)*(VLOOKUP('Menu and cost - USA by city'!A198,COGS!$B$3:$I$10,8,FALSE)/3)*0.4</f>
        <v>7.4666666666666677</v>
      </c>
      <c r="F198" s="59">
        <f>SUMPRODUCT(H198:L198,'Mean order price'!$C$10:$G$10)*G198+P198*'Mean order price'!$H$10</f>
        <v>5.0364500000000003</v>
      </c>
      <c r="G198" s="53">
        <v>0.3</v>
      </c>
      <c r="H198" s="60">
        <v>0.2</v>
      </c>
      <c r="I198" s="60">
        <v>0.5</v>
      </c>
      <c r="J198" s="60">
        <v>0.15</v>
      </c>
      <c r="K198" s="60">
        <v>0.05</v>
      </c>
      <c r="L198" s="60">
        <v>0.1</v>
      </c>
      <c r="M198" s="60">
        <f t="shared" si="33"/>
        <v>1</v>
      </c>
      <c r="N198" s="61">
        <v>10</v>
      </c>
      <c r="O198" s="62">
        <f t="shared" si="34"/>
        <v>6</v>
      </c>
      <c r="P198" s="62">
        <f t="shared" si="35"/>
        <v>0.1</v>
      </c>
      <c r="Q198" s="65">
        <f t="shared" si="37"/>
        <v>2.4302166666666674</v>
      </c>
      <c r="R198" s="66">
        <f>Таблица1[[#This Row],[Profit]]/Таблица1[[#This Row],[Price]]</f>
        <v>0.32547544642857146</v>
      </c>
      <c r="S198" s="60">
        <f>VLOOKUP($A198,'Order Composition'!$B$2:$F$10,MATCH($C198,'Order Composition'!$B$2:$F$2,0),0)</f>
        <v>0.8</v>
      </c>
      <c r="T198" s="65">
        <f t="shared" si="38"/>
        <v>1.944173333333334</v>
      </c>
      <c r="U198" s="65">
        <f>Таблица1[[#This Row],[Price]]*Таблица1[[#This Row],[Order]]</f>
        <v>5.9733333333333345</v>
      </c>
      <c r="V198" s="65">
        <f>Таблица1[[#This Row],[Cost(with labour)]]*Таблица1[[#This Row],[Order]]</f>
        <v>4.0291600000000001</v>
      </c>
      <c r="W198" s="67">
        <f>VLOOKUP($A198,'Mean order price'!$B$2:$H$10,7,0)</f>
        <v>14</v>
      </c>
      <c r="X198" s="68">
        <f t="shared" si="36"/>
        <v>1.4000000000000001</v>
      </c>
    </row>
    <row r="199" spans="1:24">
      <c r="A199" s="53" t="s">
        <v>56</v>
      </c>
      <c r="B199" s="54">
        <f t="shared" si="39"/>
        <v>196</v>
      </c>
      <c r="C199" s="53" t="s">
        <v>27</v>
      </c>
      <c r="D199" s="53" t="s">
        <v>34</v>
      </c>
      <c r="E199" s="59">
        <f>VLOOKUP('Menu and cost - USA by city'!D199,'Menu and cost - Russia'!$D$4:$P$29,2,FALSE)*(VLOOKUP('Menu and cost - USA by city'!A199,COGS!$B$3:$I$10,8,FALSE)/3)*0.4</f>
        <v>5.6000000000000005</v>
      </c>
      <c r="F199" s="59">
        <f>SUMPRODUCT(H199:L199,'Mean order price'!$C$10:$G$10)*G199+P199*'Mean order price'!$H$10</f>
        <v>3.3628333333333345</v>
      </c>
      <c r="G199" s="53">
        <v>0.2</v>
      </c>
      <c r="H199" s="60">
        <v>0.1</v>
      </c>
      <c r="I199" s="60">
        <v>0</v>
      </c>
      <c r="J199" s="60">
        <v>0.75</v>
      </c>
      <c r="K199" s="60">
        <v>0.05</v>
      </c>
      <c r="L199" s="60">
        <v>0.1</v>
      </c>
      <c r="M199" s="60">
        <f t="shared" si="33"/>
        <v>1</v>
      </c>
      <c r="N199" s="61">
        <v>15</v>
      </c>
      <c r="O199" s="62">
        <f t="shared" si="34"/>
        <v>4</v>
      </c>
      <c r="P199" s="62">
        <f t="shared" si="35"/>
        <v>6.6666666666666666E-2</v>
      </c>
      <c r="Q199" s="65">
        <f t="shared" si="37"/>
        <v>2.2371666666666661</v>
      </c>
      <c r="R199" s="66">
        <f>Таблица1[[#This Row],[Profit]]/Таблица1[[#This Row],[Price]]</f>
        <v>0.3994940476190475</v>
      </c>
      <c r="S199" s="60">
        <f>VLOOKUP($A199,'Order Composition'!$B$2:$F$10,MATCH($C199,'Order Composition'!$B$2:$F$2,0),0)</f>
        <v>0.8</v>
      </c>
      <c r="T199" s="65">
        <f t="shared" si="38"/>
        <v>1.789733333333333</v>
      </c>
      <c r="U199" s="65">
        <f>Таблица1[[#This Row],[Price]]*Таблица1[[#This Row],[Order]]</f>
        <v>4.4800000000000004</v>
      </c>
      <c r="V199" s="65">
        <f>Таблица1[[#This Row],[Cost(with labour)]]*Таблица1[[#This Row],[Order]]</f>
        <v>2.6902666666666679</v>
      </c>
      <c r="W199" s="67">
        <f>VLOOKUP($A199,'Mean order price'!$B$2:$H$10,7,0)</f>
        <v>14</v>
      </c>
      <c r="X199" s="68">
        <f t="shared" si="36"/>
        <v>0.93333333333333335</v>
      </c>
    </row>
    <row r="200" spans="1:24">
      <c r="A200" s="53" t="s">
        <v>56</v>
      </c>
      <c r="B200" s="54">
        <f t="shared" si="39"/>
        <v>197</v>
      </c>
      <c r="C200" s="53" t="s">
        <v>27</v>
      </c>
      <c r="D200" s="53" t="s">
        <v>35</v>
      </c>
      <c r="E200" s="59">
        <f>VLOOKUP('Menu and cost - USA by city'!D200,'Menu and cost - Russia'!$D$4:$P$29,2,FALSE)*(VLOOKUP('Menu and cost - USA by city'!A200,COGS!$B$3:$I$10,8,FALSE)/3)*0.4</f>
        <v>5.6000000000000005</v>
      </c>
      <c r="F200" s="59">
        <f>SUMPRODUCT(H200:L200,'Mean order price'!$C$10:$G$10)*G200+P200*'Mean order price'!$H$10</f>
        <v>3.2776333333333341</v>
      </c>
      <c r="G200" s="53">
        <v>0.2</v>
      </c>
      <c r="H200" s="60">
        <v>0.2</v>
      </c>
      <c r="I200" s="60">
        <v>0</v>
      </c>
      <c r="J200" s="60">
        <v>0.65</v>
      </c>
      <c r="K200" s="60">
        <v>0.05</v>
      </c>
      <c r="L200" s="60">
        <v>0.1</v>
      </c>
      <c r="M200" s="60">
        <f t="shared" si="33"/>
        <v>1.0000000000000002</v>
      </c>
      <c r="N200" s="61">
        <v>15</v>
      </c>
      <c r="O200" s="62">
        <f t="shared" si="34"/>
        <v>4</v>
      </c>
      <c r="P200" s="62">
        <f t="shared" si="35"/>
        <v>6.6666666666666666E-2</v>
      </c>
      <c r="Q200" s="65">
        <f t="shared" si="37"/>
        <v>2.3223666666666665</v>
      </c>
      <c r="R200" s="66">
        <f>Таблица1[[#This Row],[Profit]]/Таблица1[[#This Row],[Price]]</f>
        <v>0.41470833333333323</v>
      </c>
      <c r="S200" s="60">
        <f>VLOOKUP($A200,'Order Composition'!$B$2:$F$10,MATCH($C200,'Order Composition'!$B$2:$F$2,0),0)</f>
        <v>0.8</v>
      </c>
      <c r="T200" s="65">
        <f t="shared" si="38"/>
        <v>1.8578933333333332</v>
      </c>
      <c r="U200" s="65">
        <f>Таблица1[[#This Row],[Price]]*Таблица1[[#This Row],[Order]]</f>
        <v>4.4800000000000004</v>
      </c>
      <c r="V200" s="65">
        <f>Таблица1[[#This Row],[Cost(with labour)]]*Таблица1[[#This Row],[Order]]</f>
        <v>2.6221066666666673</v>
      </c>
      <c r="W200" s="67">
        <f>VLOOKUP($A200,'Mean order price'!$B$2:$H$10,7,0)</f>
        <v>14</v>
      </c>
      <c r="X200" s="68">
        <f t="shared" si="36"/>
        <v>0.93333333333333335</v>
      </c>
    </row>
    <row r="201" spans="1:24">
      <c r="A201" s="53" t="s">
        <v>56</v>
      </c>
      <c r="B201" s="54">
        <f t="shared" si="39"/>
        <v>198</v>
      </c>
      <c r="C201" s="53" t="s">
        <v>27</v>
      </c>
      <c r="D201" s="53" t="s">
        <v>36</v>
      </c>
      <c r="E201" s="59">
        <f>VLOOKUP('Menu and cost - USA by city'!D201,'Menu and cost - Russia'!$D$4:$P$29,2,FALSE)*(VLOOKUP('Menu and cost - USA by city'!A201,COGS!$B$3:$I$10,8,FALSE)/3)*0.4</f>
        <v>9.3333333333333339</v>
      </c>
      <c r="F201" s="59">
        <f>SUMPRODUCT(H201:L201,'Mean order price'!$C$10:$G$10)*G201+P201*'Mean order price'!$H$10</f>
        <v>4.9451000000000001</v>
      </c>
      <c r="G201" s="53">
        <v>0.3</v>
      </c>
      <c r="H201" s="60">
        <v>0</v>
      </c>
      <c r="I201" s="60">
        <v>0.5</v>
      </c>
      <c r="J201" s="60">
        <v>0.2</v>
      </c>
      <c r="K201" s="60">
        <v>0</v>
      </c>
      <c r="L201" s="60">
        <v>0.3</v>
      </c>
      <c r="M201" s="60">
        <f t="shared" si="33"/>
        <v>1</v>
      </c>
      <c r="N201" s="61">
        <v>10</v>
      </c>
      <c r="O201" s="62">
        <f t="shared" si="34"/>
        <v>6</v>
      </c>
      <c r="P201" s="62">
        <f t="shared" si="35"/>
        <v>0.1</v>
      </c>
      <c r="Q201" s="65">
        <f t="shared" si="37"/>
        <v>4.3882333333333339</v>
      </c>
      <c r="R201" s="66">
        <f>Таблица1[[#This Row],[Profit]]/Таблица1[[#This Row],[Price]]</f>
        <v>0.47016785714285719</v>
      </c>
      <c r="S201" s="60">
        <f>VLOOKUP($A201,'Order Composition'!$B$2:$F$10,MATCH($C201,'Order Composition'!$B$2:$F$2,0),0)</f>
        <v>0.8</v>
      </c>
      <c r="T201" s="65">
        <f t="shared" si="38"/>
        <v>3.5105866666666672</v>
      </c>
      <c r="U201" s="65">
        <f>Таблица1[[#This Row],[Price]]*Таблица1[[#This Row],[Order]]</f>
        <v>7.4666666666666677</v>
      </c>
      <c r="V201" s="65">
        <f>Таблица1[[#This Row],[Cost(with labour)]]*Таблица1[[#This Row],[Order]]</f>
        <v>3.95608</v>
      </c>
      <c r="W201" s="67">
        <f>VLOOKUP($A201,'Mean order price'!$B$2:$H$10,7,0)</f>
        <v>14</v>
      </c>
      <c r="X201" s="68">
        <f t="shared" si="36"/>
        <v>1.4000000000000001</v>
      </c>
    </row>
    <row r="202" spans="1:24">
      <c r="A202" s="53" t="s">
        <v>56</v>
      </c>
      <c r="B202" s="54">
        <f t="shared" si="39"/>
        <v>199</v>
      </c>
      <c r="C202" s="53" t="s">
        <v>27</v>
      </c>
      <c r="D202" s="53" t="s">
        <v>37</v>
      </c>
      <c r="E202" s="59">
        <f>VLOOKUP('Menu and cost - USA by city'!D202,'Menu and cost - Russia'!$D$4:$P$29,2,FALSE)*(VLOOKUP('Menu and cost - USA by city'!A202,COGS!$B$3:$I$10,8,FALSE)/3)*0.4</f>
        <v>9.3333333333333339</v>
      </c>
      <c r="F202" s="59">
        <f>SUMPRODUCT(H202:L202,'Mean order price'!$C$10:$G$10)*G202+P202*'Mean order price'!$H$10</f>
        <v>5.0305999999999997</v>
      </c>
      <c r="G202" s="53">
        <v>0.3</v>
      </c>
      <c r="H202" s="60">
        <v>0.1</v>
      </c>
      <c r="I202" s="60">
        <v>0.5</v>
      </c>
      <c r="J202" s="60">
        <v>0.2</v>
      </c>
      <c r="K202" s="60">
        <v>0</v>
      </c>
      <c r="L202" s="60">
        <v>0.2</v>
      </c>
      <c r="M202" s="60">
        <f t="shared" si="33"/>
        <v>1</v>
      </c>
      <c r="N202" s="61">
        <v>10</v>
      </c>
      <c r="O202" s="62">
        <f t="shared" si="34"/>
        <v>6</v>
      </c>
      <c r="P202" s="62">
        <f t="shared" si="35"/>
        <v>0.1</v>
      </c>
      <c r="Q202" s="65">
        <f t="shared" si="37"/>
        <v>4.3027333333333342</v>
      </c>
      <c r="R202" s="66">
        <f>Таблица1[[#This Row],[Profit]]/Таблица1[[#This Row],[Price]]</f>
        <v>0.46100714285714289</v>
      </c>
      <c r="S202" s="60">
        <f>VLOOKUP($A202,'Order Composition'!$B$2:$F$10,MATCH($C202,'Order Composition'!$B$2:$F$2,0),0)</f>
        <v>0.8</v>
      </c>
      <c r="T202" s="65">
        <f t="shared" si="38"/>
        <v>3.4421866666666676</v>
      </c>
      <c r="U202" s="65">
        <f>Таблица1[[#This Row],[Price]]*Таблица1[[#This Row],[Order]]</f>
        <v>7.4666666666666677</v>
      </c>
      <c r="V202" s="65">
        <f>Таблица1[[#This Row],[Cost(with labour)]]*Таблица1[[#This Row],[Order]]</f>
        <v>4.0244799999999996</v>
      </c>
      <c r="W202" s="67">
        <f>VLOOKUP($A202,'Mean order price'!$B$2:$H$10,7,0)</f>
        <v>14</v>
      </c>
      <c r="X202" s="68">
        <f t="shared" si="36"/>
        <v>1.4000000000000001</v>
      </c>
    </row>
    <row r="203" spans="1:24">
      <c r="A203" s="53" t="s">
        <v>56</v>
      </c>
      <c r="B203" s="54">
        <f t="shared" si="39"/>
        <v>200</v>
      </c>
      <c r="C203" s="53" t="s">
        <v>38</v>
      </c>
      <c r="D203" s="53" t="s">
        <v>39</v>
      </c>
      <c r="E203" s="59">
        <f>VLOOKUP('Menu and cost - USA by city'!D203,'Menu and cost - Russia'!$D$4:$P$29,2,FALSE)*(VLOOKUP('Menu and cost - USA by city'!A203,COGS!$B$3:$I$10,8,FALSE)/3)*0.4</f>
        <v>5.6000000000000005</v>
      </c>
      <c r="F203" s="59">
        <f>SUMPRODUCT(H203:L203,'Mean order price'!$C$10:$G$10)*G203+P203*'Mean order price'!$H$10</f>
        <v>2.2847500000000003</v>
      </c>
      <c r="G203" s="53">
        <v>0.15</v>
      </c>
      <c r="H203" s="60">
        <v>0.2</v>
      </c>
      <c r="I203" s="60">
        <v>0</v>
      </c>
      <c r="J203" s="60">
        <v>0.5</v>
      </c>
      <c r="K203" s="60">
        <v>0</v>
      </c>
      <c r="L203" s="60">
        <v>0.3</v>
      </c>
      <c r="M203" s="60">
        <f t="shared" si="33"/>
        <v>1</v>
      </c>
      <c r="N203" s="61">
        <v>20</v>
      </c>
      <c r="O203" s="62">
        <f t="shared" si="34"/>
        <v>3</v>
      </c>
      <c r="P203" s="62">
        <f t="shared" si="35"/>
        <v>0.05</v>
      </c>
      <c r="Q203" s="65">
        <f t="shared" si="37"/>
        <v>3.3152500000000003</v>
      </c>
      <c r="R203" s="66">
        <f>Таблица1[[#This Row],[Profit]]/Таблица1[[#This Row],[Price]]</f>
        <v>0.59200892857142851</v>
      </c>
      <c r="S203" s="60">
        <f>VLOOKUP($A203,'Order Composition'!$B$2:$F$10,MATCH($C203,'Order Composition'!$B$2:$F$2,0),0)</f>
        <v>0.5</v>
      </c>
      <c r="T203" s="65">
        <f t="shared" si="38"/>
        <v>1.6576250000000001</v>
      </c>
      <c r="U203" s="65">
        <f>Таблица1[[#This Row],[Price]]*Таблица1[[#This Row],[Order]]</f>
        <v>2.8000000000000003</v>
      </c>
      <c r="V203" s="65">
        <f>Таблица1[[#This Row],[Cost(with labour)]]*Таблица1[[#This Row],[Order]]</f>
        <v>1.1423750000000001</v>
      </c>
      <c r="W203" s="67">
        <f>VLOOKUP($A203,'Mean order price'!$B$2:$H$10,7,0)</f>
        <v>14</v>
      </c>
      <c r="X203" s="68">
        <f t="shared" si="36"/>
        <v>0.70000000000000007</v>
      </c>
    </row>
    <row r="204" spans="1:24">
      <c r="A204" s="53" t="s">
        <v>56</v>
      </c>
      <c r="B204" s="54">
        <f t="shared" si="39"/>
        <v>201</v>
      </c>
      <c r="C204" s="53" t="s">
        <v>38</v>
      </c>
      <c r="D204" s="53" t="s">
        <v>40</v>
      </c>
      <c r="E204" s="59">
        <f>VLOOKUP('Menu and cost - USA by city'!D204,'Menu and cost - Russia'!$D$4:$P$29,2,FALSE)*(VLOOKUP('Menu and cost - USA by city'!A204,COGS!$B$3:$I$10,8,FALSE)/3)*0.4</f>
        <v>5.6000000000000005</v>
      </c>
      <c r="F204" s="59">
        <f>SUMPRODUCT(H204:L204,'Mean order price'!$C$10:$G$10)*G204+P204*'Mean order price'!$H$10</f>
        <v>2.2847500000000003</v>
      </c>
      <c r="G204" s="53">
        <v>0.15</v>
      </c>
      <c r="H204" s="60">
        <v>0.2</v>
      </c>
      <c r="I204" s="60">
        <v>0</v>
      </c>
      <c r="J204" s="60">
        <v>0.5</v>
      </c>
      <c r="K204" s="60">
        <v>0</v>
      </c>
      <c r="L204" s="60">
        <v>0.3</v>
      </c>
      <c r="M204" s="60">
        <f t="shared" si="33"/>
        <v>1</v>
      </c>
      <c r="N204" s="61">
        <v>20</v>
      </c>
      <c r="O204" s="62">
        <f t="shared" si="34"/>
        <v>3</v>
      </c>
      <c r="P204" s="62">
        <f t="shared" si="35"/>
        <v>0.05</v>
      </c>
      <c r="Q204" s="65">
        <f t="shared" si="37"/>
        <v>3.3152500000000003</v>
      </c>
      <c r="R204" s="66">
        <f>Таблица1[[#This Row],[Profit]]/Таблица1[[#This Row],[Price]]</f>
        <v>0.59200892857142851</v>
      </c>
      <c r="S204" s="60">
        <f>VLOOKUP($A204,'Order Composition'!$B$2:$F$10,MATCH($C204,'Order Composition'!$B$2:$F$2,0),0)</f>
        <v>0.5</v>
      </c>
      <c r="T204" s="65">
        <f t="shared" si="38"/>
        <v>1.6576250000000001</v>
      </c>
      <c r="U204" s="65">
        <f>Таблица1[[#This Row],[Price]]*Таблица1[[#This Row],[Order]]</f>
        <v>2.8000000000000003</v>
      </c>
      <c r="V204" s="65">
        <f>Таблица1[[#This Row],[Cost(with labour)]]*Таблица1[[#This Row],[Order]]</f>
        <v>1.1423750000000001</v>
      </c>
      <c r="W204" s="67">
        <f>VLOOKUP($A204,'Mean order price'!$B$2:$H$10,7,0)</f>
        <v>14</v>
      </c>
      <c r="X204" s="68">
        <f t="shared" si="36"/>
        <v>0.70000000000000007</v>
      </c>
    </row>
    <row r="205" spans="1:24">
      <c r="A205" s="53" t="s">
        <v>56</v>
      </c>
      <c r="B205" s="54">
        <f t="shared" si="39"/>
        <v>202</v>
      </c>
      <c r="C205" s="53" t="s">
        <v>38</v>
      </c>
      <c r="D205" s="53" t="s">
        <v>41</v>
      </c>
      <c r="E205" s="59">
        <f>VLOOKUP('Menu and cost - USA by city'!D205,'Menu and cost - Russia'!$D$4:$P$29,2,FALSE)*(VLOOKUP('Menu and cost - USA by city'!A205,COGS!$B$3:$I$10,8,FALSE)/3)*0.4</f>
        <v>2.8000000000000003</v>
      </c>
      <c r="F205" s="59">
        <f>SUMPRODUCT(H205:L205,'Mean order price'!$C$10:$G$10)*G205+P205*'Mean order price'!$H$10</f>
        <v>1.2898333333333336</v>
      </c>
      <c r="G205" s="53">
        <v>0.1</v>
      </c>
      <c r="H205" s="60">
        <v>0.2</v>
      </c>
      <c r="I205" s="60">
        <v>0</v>
      </c>
      <c r="J205" s="60">
        <v>0.5</v>
      </c>
      <c r="K205" s="60">
        <v>0</v>
      </c>
      <c r="L205" s="60">
        <v>0.3</v>
      </c>
      <c r="M205" s="60">
        <f t="shared" si="33"/>
        <v>1</v>
      </c>
      <c r="N205" s="61">
        <v>60</v>
      </c>
      <c r="O205" s="62">
        <f t="shared" si="34"/>
        <v>1</v>
      </c>
      <c r="P205" s="62">
        <f t="shared" si="35"/>
        <v>1.6666666666666666E-2</v>
      </c>
      <c r="Q205" s="65">
        <f t="shared" si="37"/>
        <v>1.5101666666666667</v>
      </c>
      <c r="R205" s="66">
        <f>Таблица1[[#This Row],[Profit]]/Таблица1[[#This Row],[Price]]</f>
        <v>0.53934523809523804</v>
      </c>
      <c r="S205" s="60">
        <f>VLOOKUP($A205,'Order Composition'!$B$2:$F$10,MATCH($C205,'Order Composition'!$B$2:$F$2,0),0)</f>
        <v>0.5</v>
      </c>
      <c r="T205" s="65">
        <f t="shared" si="38"/>
        <v>0.75508333333333333</v>
      </c>
      <c r="U205" s="65">
        <f>Таблица1[[#This Row],[Price]]*Таблица1[[#This Row],[Order]]</f>
        <v>1.4000000000000001</v>
      </c>
      <c r="V205" s="65">
        <f>Таблица1[[#This Row],[Cost(with labour)]]*Таблица1[[#This Row],[Order]]</f>
        <v>0.6449166666666668</v>
      </c>
      <c r="W205" s="67">
        <f>VLOOKUP($A205,'Mean order price'!$B$2:$H$10,7,0)</f>
        <v>14</v>
      </c>
      <c r="X205" s="68">
        <f t="shared" si="36"/>
        <v>0.23333333333333334</v>
      </c>
    </row>
    <row r="206" spans="1:24">
      <c r="A206" s="53" t="s">
        <v>56</v>
      </c>
      <c r="B206" s="54">
        <f t="shared" si="39"/>
        <v>203</v>
      </c>
      <c r="C206" s="53" t="s">
        <v>11</v>
      </c>
      <c r="D206" s="53" t="s">
        <v>42</v>
      </c>
      <c r="E206" s="59">
        <f>VLOOKUP('Menu and cost - USA by city'!D206,'Menu and cost - Russia'!$D$4:$P$29,2,FALSE)*(VLOOKUP('Menu and cost - USA by city'!A206,COGS!$B$3:$I$10,8,FALSE)/3)*0.4</f>
        <v>2.8000000000000003</v>
      </c>
      <c r="F206" s="59">
        <f>SUMPRODUCT(H206:L206,'Mean order price'!$C$10:$G$10)*G206+P206*'Mean order price'!$H$10</f>
        <v>1.7646666666666668</v>
      </c>
      <c r="G206" s="53">
        <v>0.2</v>
      </c>
      <c r="H206" s="60">
        <v>0</v>
      </c>
      <c r="I206" s="60">
        <v>0</v>
      </c>
      <c r="J206" s="60">
        <v>0</v>
      </c>
      <c r="K206" s="60">
        <v>1</v>
      </c>
      <c r="L206" s="60">
        <v>0</v>
      </c>
      <c r="M206" s="60">
        <f t="shared" si="33"/>
        <v>1</v>
      </c>
      <c r="N206" s="61">
        <v>120</v>
      </c>
      <c r="O206" s="62">
        <f t="shared" si="34"/>
        <v>0.5</v>
      </c>
      <c r="P206" s="62">
        <f t="shared" si="35"/>
        <v>8.3333333333333332E-3</v>
      </c>
      <c r="Q206" s="65">
        <f t="shared" si="37"/>
        <v>1.0353333333333334</v>
      </c>
      <c r="R206" s="66">
        <f>Таблица1[[#This Row],[Profit]]/Таблица1[[#This Row],[Price]]</f>
        <v>0.36976190476190479</v>
      </c>
      <c r="S206" s="60">
        <f>VLOOKUP($A206,'Order Composition'!$B$2:$F$10,MATCH($C206,'Order Composition'!$B$2:$F$2,0),0)</f>
        <v>0.95</v>
      </c>
      <c r="T206" s="65">
        <f t="shared" si="38"/>
        <v>0.9835666666666667</v>
      </c>
      <c r="U206" s="65">
        <f>Таблица1[[#This Row],[Price]]*Таблица1[[#This Row],[Order]]</f>
        <v>2.66</v>
      </c>
      <c r="V206" s="65">
        <f>Таблица1[[#This Row],[Cost(with labour)]]*Таблица1[[#This Row],[Order]]</f>
        <v>1.6764333333333334</v>
      </c>
      <c r="W206" s="67">
        <f>VLOOKUP($A206,'Mean order price'!$B$2:$H$10,7,0)</f>
        <v>14</v>
      </c>
      <c r="X206" s="68">
        <f t="shared" si="36"/>
        <v>0.11666666666666667</v>
      </c>
    </row>
    <row r="207" spans="1:24">
      <c r="A207" s="53" t="s">
        <v>56</v>
      </c>
      <c r="B207" s="54">
        <f t="shared" si="39"/>
        <v>204</v>
      </c>
      <c r="C207" s="53" t="s">
        <v>11</v>
      </c>
      <c r="D207" s="53" t="s">
        <v>43</v>
      </c>
      <c r="E207" s="59">
        <f>VLOOKUP('Menu and cost - USA by city'!D207,'Menu and cost - Russia'!$D$4:$P$29,2,FALSE)*(VLOOKUP('Menu and cost - USA by city'!A207,COGS!$B$3:$I$10,8,FALSE)/3)*0.4</f>
        <v>2.8000000000000003</v>
      </c>
      <c r="F207" s="59">
        <f>SUMPRODUCT(H207:L207,'Mean order price'!$C$10:$G$10)*G207+P207*'Mean order price'!$H$10</f>
        <v>1.7646666666666668</v>
      </c>
      <c r="G207" s="53">
        <v>0.2</v>
      </c>
      <c r="H207" s="60">
        <v>0</v>
      </c>
      <c r="I207" s="60">
        <v>0</v>
      </c>
      <c r="J207" s="60">
        <v>0</v>
      </c>
      <c r="K207" s="60">
        <v>1</v>
      </c>
      <c r="L207" s="60">
        <v>0</v>
      </c>
      <c r="M207" s="60">
        <f t="shared" si="33"/>
        <v>1</v>
      </c>
      <c r="N207" s="61">
        <v>120</v>
      </c>
      <c r="O207" s="62">
        <f t="shared" si="34"/>
        <v>0.5</v>
      </c>
      <c r="P207" s="62">
        <f t="shared" si="35"/>
        <v>8.3333333333333332E-3</v>
      </c>
      <c r="Q207" s="65">
        <f t="shared" si="37"/>
        <v>1.0353333333333334</v>
      </c>
      <c r="R207" s="66">
        <f>Таблица1[[#This Row],[Profit]]/Таблица1[[#This Row],[Price]]</f>
        <v>0.36976190476190479</v>
      </c>
      <c r="S207" s="60">
        <f>VLOOKUP($A207,'Order Composition'!$B$2:$F$10,MATCH($C207,'Order Composition'!$B$2:$F$2,0),0)</f>
        <v>0.95</v>
      </c>
      <c r="T207" s="65">
        <f t="shared" si="38"/>
        <v>0.9835666666666667</v>
      </c>
      <c r="U207" s="65">
        <f>Таблица1[[#This Row],[Price]]*Таблица1[[#This Row],[Order]]</f>
        <v>2.66</v>
      </c>
      <c r="V207" s="65">
        <f>Таблица1[[#This Row],[Cost(with labour)]]*Таблица1[[#This Row],[Order]]</f>
        <v>1.6764333333333334</v>
      </c>
      <c r="W207" s="67">
        <f>VLOOKUP($A207,'Mean order price'!$B$2:$H$10,7,0)</f>
        <v>14</v>
      </c>
      <c r="X207" s="68">
        <f t="shared" si="36"/>
        <v>0.11666666666666667</v>
      </c>
    </row>
    <row r="208" spans="1:24">
      <c r="A208" s="53" t="s">
        <v>56</v>
      </c>
      <c r="B208" s="54">
        <f t="shared" si="39"/>
        <v>205</v>
      </c>
      <c r="C208" s="53" t="s">
        <v>11</v>
      </c>
      <c r="D208" s="53" t="s">
        <v>44</v>
      </c>
      <c r="E208" s="59">
        <f>VLOOKUP('Menu and cost - USA by city'!D208,'Menu and cost - Russia'!$D$4:$P$29,2,FALSE)*(VLOOKUP('Menu and cost - USA by city'!A208,COGS!$B$3:$I$10,8,FALSE)/3)*0.4</f>
        <v>3.7333333333333338</v>
      </c>
      <c r="F208" s="59">
        <f>SUMPRODUCT(H208:L208,'Mean order price'!$C$10:$G$10)*G208+P208*'Mean order price'!$H$10</f>
        <v>2.0937333333333337</v>
      </c>
      <c r="G208" s="53">
        <v>0.2</v>
      </c>
      <c r="H208" s="60">
        <v>0</v>
      </c>
      <c r="I208" s="60">
        <v>0</v>
      </c>
      <c r="J208" s="60">
        <v>0.2</v>
      </c>
      <c r="K208" s="60">
        <v>0.8</v>
      </c>
      <c r="L208" s="60">
        <v>0</v>
      </c>
      <c r="M208" s="60">
        <f t="shared" si="33"/>
        <v>1</v>
      </c>
      <c r="N208" s="61">
        <v>60</v>
      </c>
      <c r="O208" s="62">
        <f t="shared" si="34"/>
        <v>1</v>
      </c>
      <c r="P208" s="62">
        <f t="shared" si="35"/>
        <v>1.6666666666666666E-2</v>
      </c>
      <c r="Q208" s="65">
        <f t="shared" si="37"/>
        <v>1.6396000000000002</v>
      </c>
      <c r="R208" s="66">
        <f>Таблица1[[#This Row],[Profit]]/Таблица1[[#This Row],[Price]]</f>
        <v>0.43917857142857142</v>
      </c>
      <c r="S208" s="60">
        <f>VLOOKUP($A208,'Order Composition'!$B$2:$F$10,MATCH($C208,'Order Composition'!$B$2:$F$2,0),0)</f>
        <v>0.95</v>
      </c>
      <c r="T208" s="65">
        <f t="shared" si="38"/>
        <v>1.55762</v>
      </c>
      <c r="U208" s="65">
        <f>Таблица1[[#This Row],[Price]]*Таблица1[[#This Row],[Order]]</f>
        <v>3.5466666666666669</v>
      </c>
      <c r="V208" s="65">
        <f>Таблица1[[#This Row],[Cost(with labour)]]*Таблица1[[#This Row],[Order]]</f>
        <v>1.9890466666666669</v>
      </c>
      <c r="W208" s="67">
        <f>VLOOKUP($A208,'Mean order price'!$B$2:$H$10,7,0)</f>
        <v>14</v>
      </c>
      <c r="X208" s="68">
        <f t="shared" si="36"/>
        <v>0.23333333333333334</v>
      </c>
    </row>
    <row r="209" spans="1:24">
      <c r="A209" s="53" t="s">
        <v>56</v>
      </c>
      <c r="B209" s="54">
        <f t="shared" si="39"/>
        <v>206</v>
      </c>
      <c r="C209" s="53" t="s">
        <v>11</v>
      </c>
      <c r="D209" s="53" t="s">
        <v>45</v>
      </c>
      <c r="E209" s="59">
        <f>VLOOKUP('Menu and cost - USA by city'!D209,'Menu and cost - Russia'!$D$4:$P$29,2,FALSE)*(VLOOKUP('Menu and cost - USA by city'!A209,COGS!$B$3:$I$10,8,FALSE)/3)*0.4</f>
        <v>3.7333333333333338</v>
      </c>
      <c r="F209" s="59">
        <f>SUMPRODUCT(H209:L209,'Mean order price'!$C$10:$G$10)*G209+P209*'Mean order price'!$H$10</f>
        <v>2.0937333333333337</v>
      </c>
      <c r="G209" s="53">
        <v>0.2</v>
      </c>
      <c r="H209" s="60">
        <v>0</v>
      </c>
      <c r="I209" s="60">
        <v>0</v>
      </c>
      <c r="J209" s="60">
        <v>0.2</v>
      </c>
      <c r="K209" s="60">
        <v>0.8</v>
      </c>
      <c r="L209" s="60">
        <v>0</v>
      </c>
      <c r="M209" s="60">
        <f t="shared" si="33"/>
        <v>1</v>
      </c>
      <c r="N209" s="61">
        <v>60</v>
      </c>
      <c r="O209" s="62">
        <f t="shared" si="34"/>
        <v>1</v>
      </c>
      <c r="P209" s="62">
        <f t="shared" si="35"/>
        <v>1.6666666666666666E-2</v>
      </c>
      <c r="Q209" s="65">
        <f t="shared" si="37"/>
        <v>1.6396000000000002</v>
      </c>
      <c r="R209" s="66">
        <f>Таблица1[[#This Row],[Profit]]/Таблица1[[#This Row],[Price]]</f>
        <v>0.43917857142857142</v>
      </c>
      <c r="S209" s="60">
        <f>VLOOKUP($A209,'Order Composition'!$B$2:$F$10,MATCH($C209,'Order Composition'!$B$2:$F$2,0),0)</f>
        <v>0.95</v>
      </c>
      <c r="T209" s="65">
        <f t="shared" si="38"/>
        <v>1.55762</v>
      </c>
      <c r="U209" s="65">
        <f>Таблица1[[#This Row],[Price]]*Таблица1[[#This Row],[Order]]</f>
        <v>3.5466666666666669</v>
      </c>
      <c r="V209" s="65">
        <f>Таблица1[[#This Row],[Cost(with labour)]]*Таблица1[[#This Row],[Order]]</f>
        <v>1.9890466666666669</v>
      </c>
      <c r="W209" s="67">
        <f>VLOOKUP($A209,'Mean order price'!$B$2:$H$10,7,0)</f>
        <v>14</v>
      </c>
      <c r="X209" s="68">
        <f t="shared" si="36"/>
        <v>0.23333333333333334</v>
      </c>
    </row>
    <row r="210" spans="1:24">
      <c r="A210" s="53" t="s">
        <v>56</v>
      </c>
      <c r="B210" s="54">
        <f t="shared" si="39"/>
        <v>207</v>
      </c>
      <c r="C210" s="53" t="s">
        <v>11</v>
      </c>
      <c r="D210" s="53" t="s">
        <v>46</v>
      </c>
      <c r="E210" s="59">
        <f>VLOOKUP('Menu and cost - USA by city'!D210,'Menu and cost - Russia'!$D$4:$P$29,2,FALSE)*(VLOOKUP('Menu and cost - USA by city'!A210,COGS!$B$3:$I$10,8,FALSE)/3)*0.4</f>
        <v>2.8000000000000003</v>
      </c>
      <c r="F210" s="59">
        <f>SUMPRODUCT(H210:L210,'Mean order price'!$C$10:$G$10)*G210+P210*'Mean order price'!$H$10</f>
        <v>1.9980000000000002</v>
      </c>
      <c r="G210" s="53">
        <v>0.2</v>
      </c>
      <c r="H210" s="60">
        <v>0</v>
      </c>
      <c r="I210" s="60">
        <v>0</v>
      </c>
      <c r="J210" s="60">
        <v>0</v>
      </c>
      <c r="K210" s="60">
        <v>1</v>
      </c>
      <c r="L210" s="60">
        <v>0</v>
      </c>
      <c r="M210" s="60">
        <f t="shared" si="33"/>
        <v>1</v>
      </c>
      <c r="N210" s="61">
        <v>40</v>
      </c>
      <c r="O210" s="62">
        <f t="shared" si="34"/>
        <v>1.5</v>
      </c>
      <c r="P210" s="62">
        <f t="shared" si="35"/>
        <v>2.5000000000000001E-2</v>
      </c>
      <c r="Q210" s="65">
        <f t="shared" si="37"/>
        <v>0.80200000000000005</v>
      </c>
      <c r="R210" s="66">
        <f>Таблица1[[#This Row],[Profit]]/Таблица1[[#This Row],[Price]]</f>
        <v>0.28642857142857142</v>
      </c>
      <c r="S210" s="60">
        <f>VLOOKUP($A210,'Order Composition'!$B$2:$F$10,MATCH($C210,'Order Composition'!$B$2:$F$2,0),0)</f>
        <v>0.95</v>
      </c>
      <c r="T210" s="65">
        <f t="shared" si="38"/>
        <v>0.76190000000000002</v>
      </c>
      <c r="U210" s="65">
        <f>Таблица1[[#This Row],[Price]]*Таблица1[[#This Row],[Order]]</f>
        <v>2.66</v>
      </c>
      <c r="V210" s="65">
        <f>Таблица1[[#This Row],[Cost(with labour)]]*Таблица1[[#This Row],[Order]]</f>
        <v>1.8981000000000001</v>
      </c>
      <c r="W210" s="67">
        <f>VLOOKUP($A210,'Mean order price'!$B$2:$H$10,7,0)</f>
        <v>14</v>
      </c>
      <c r="X210" s="68">
        <f t="shared" si="36"/>
        <v>0.35000000000000003</v>
      </c>
    </row>
    <row r="211" spans="1:24">
      <c r="A211" s="53" t="s">
        <v>56</v>
      </c>
      <c r="B211" s="54">
        <f t="shared" si="39"/>
        <v>208</v>
      </c>
      <c r="C211" s="53" t="s">
        <v>11</v>
      </c>
      <c r="D211" s="53" t="s">
        <v>47</v>
      </c>
      <c r="E211" s="59">
        <f>VLOOKUP('Menu and cost - USA by city'!D211,'Menu and cost - Russia'!$D$4:$P$29,2,FALSE)*(VLOOKUP('Menu and cost - USA by city'!A211,COGS!$B$3:$I$10,8,FALSE)/3)*0.4</f>
        <v>2.8000000000000003</v>
      </c>
      <c r="F211" s="59">
        <f>SUMPRODUCT(H211:L211,'Mean order price'!$C$10:$G$10)*G211+P211*'Mean order price'!$H$10</f>
        <v>2.1042000000000001</v>
      </c>
      <c r="G211" s="53">
        <v>0.2</v>
      </c>
      <c r="H211" s="60">
        <v>0</v>
      </c>
      <c r="I211" s="60">
        <v>0</v>
      </c>
      <c r="J211" s="60">
        <v>0.1</v>
      </c>
      <c r="K211" s="60">
        <v>0.9</v>
      </c>
      <c r="L211" s="60">
        <v>0</v>
      </c>
      <c r="M211" s="60">
        <f t="shared" si="33"/>
        <v>1</v>
      </c>
      <c r="N211" s="61">
        <v>40</v>
      </c>
      <c r="O211" s="62">
        <f t="shared" si="34"/>
        <v>1.5</v>
      </c>
      <c r="P211" s="62">
        <f t="shared" si="35"/>
        <v>2.5000000000000001E-2</v>
      </c>
      <c r="Q211" s="65">
        <f t="shared" si="37"/>
        <v>0.6958000000000002</v>
      </c>
      <c r="R211" s="66">
        <f>Таблица1[[#This Row],[Profit]]/Таблица1[[#This Row],[Price]]</f>
        <v>0.24850000000000005</v>
      </c>
      <c r="S211" s="60">
        <f>VLOOKUP($A211,'Order Composition'!$B$2:$F$10,MATCH($C211,'Order Composition'!$B$2:$F$2,0),0)</f>
        <v>0.95</v>
      </c>
      <c r="T211" s="65">
        <f t="shared" si="38"/>
        <v>0.66101000000000021</v>
      </c>
      <c r="U211" s="65">
        <f>Таблица1[[#This Row],[Price]]*Таблица1[[#This Row],[Order]]</f>
        <v>2.66</v>
      </c>
      <c r="V211" s="65">
        <f>Таблица1[[#This Row],[Cost(with labour)]]*Таблица1[[#This Row],[Order]]</f>
        <v>1.99899</v>
      </c>
      <c r="W211" s="67">
        <f>VLOOKUP($A211,'Mean order price'!$B$2:$H$10,7,0)</f>
        <v>14</v>
      </c>
      <c r="X211" s="68">
        <f t="shared" si="36"/>
        <v>0.35000000000000003</v>
      </c>
    </row>
  </sheetData>
  <conditionalFormatting sqref="E4:E211">
    <cfRule type="uniqueValues" dxfId="0" priority="5"/>
  </conditionalFormatting>
  <conditionalFormatting sqref="T4:T2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{0C66208C-F94A-48E1-B322-5CC9693E903B}</x14:id>
        </ext>
      </extLst>
    </cfRule>
  </conditionalFormatting>
  <conditionalFormatting sqref="U4:U2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{0E70361E-44C6-49BE-B972-602B296FBF4E}</x14:id>
        </ext>
      </extLst>
    </cfRule>
  </conditionalFormatting>
  <conditionalFormatting sqref="Q4:R2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{C6E5E406-599B-4EF9-B9F3-7C144A56BC1A}</x14:id>
        </ext>
      </extLst>
    </cfRule>
  </conditionalFormatting>
  <conditionalFormatting sqref="V4:W2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{1035ED32-B03D-4087-A36B-89790879C686}</x14:id>
        </ext>
      </extLst>
    </cfRule>
  </conditionalFormatting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66208C-F94A-48E1-B322-5CC9693E9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T4:T211</xm:sqref>
        </x14:conditionalFormatting>
        <x14:conditionalFormatting xmlns:xm="http://schemas.microsoft.com/office/excel/2006/main">
          <x14:cfRule type="dataBar" id="{0E70361E-44C6-49BE-B972-602B296FBF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U4:U211</xm:sqref>
        </x14:conditionalFormatting>
        <x14:conditionalFormatting xmlns:xm="http://schemas.microsoft.com/office/excel/2006/main">
          <x14:cfRule type="dataBar" id="{C6E5E406-599B-4EF9-B9F3-7C144A56BC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Q4:R211</xm:sqref>
        </x14:conditionalFormatting>
        <x14:conditionalFormatting xmlns:xm="http://schemas.microsoft.com/office/excel/2006/main">
          <x14:cfRule type="dataBar" id="{1035ED32-B03D-4087-A36B-89790879C6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V4:W211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P91"/>
  <sheetViews>
    <sheetView topLeftCell="G41" zoomScale="70" zoomScaleNormal="70" workbookViewId="0">
      <selection activeCell="N58" sqref="N58"/>
    </sheetView>
  </sheetViews>
  <sheetFormatPr defaultColWidth="9" defaultRowHeight="15.75"/>
  <cols>
    <col min="1" max="1" width="17.75" customWidth="1"/>
    <col min="2" max="2" width="27.25" customWidth="1"/>
    <col min="3" max="3" width="28.25" customWidth="1"/>
    <col min="4" max="4" width="21.875" customWidth="1"/>
    <col min="5" max="6" width="4.375" customWidth="1"/>
    <col min="7" max="7" width="12.25"/>
    <col min="8" max="9" width="35.5"/>
    <col min="10" max="10" width="7.375" customWidth="1"/>
    <col min="11" max="11" width="5.5" customWidth="1"/>
    <col min="12" max="12" width="11.375" customWidth="1"/>
    <col min="13" max="13" width="31.875" customWidth="1"/>
    <col min="14" max="14" width="21.875" customWidth="1"/>
    <col min="15" max="15" width="31.875" customWidth="1"/>
    <col min="16" max="16" width="26.375" customWidth="1"/>
    <col min="17" max="17" width="36.375" customWidth="1"/>
    <col min="18" max="18" width="21.25" customWidth="1"/>
    <col min="19" max="19" width="31.875" customWidth="1"/>
    <col min="20" max="20" width="26.375" customWidth="1"/>
    <col min="21" max="21" width="25.75" customWidth="1"/>
    <col min="22" max="22" width="36.375" customWidth="1"/>
    <col min="23" max="49" width="6" customWidth="1"/>
    <col min="50" max="182" width="5.375" customWidth="1"/>
    <col min="183" max="183" width="11.375" customWidth="1"/>
  </cols>
  <sheetData>
    <row r="1" spans="1:12">
      <c r="A1" t="s">
        <v>3</v>
      </c>
      <c r="B1" t="s">
        <v>71</v>
      </c>
    </row>
    <row r="2" spans="1:12">
      <c r="G2" s="97" t="s">
        <v>72</v>
      </c>
      <c r="H2" s="97"/>
      <c r="I2" s="97"/>
      <c r="J2" s="97"/>
      <c r="K2" s="97"/>
      <c r="L2" s="97"/>
    </row>
    <row r="3" spans="1:12">
      <c r="A3" t="s">
        <v>73</v>
      </c>
      <c r="B3" t="s">
        <v>74</v>
      </c>
      <c r="C3" t="s">
        <v>75</v>
      </c>
      <c r="D3" t="s">
        <v>76</v>
      </c>
      <c r="G3" t="s">
        <v>73</v>
      </c>
      <c r="H3" t="s">
        <v>77</v>
      </c>
    </row>
    <row r="4" spans="1:12">
      <c r="A4" s="39" t="s">
        <v>56</v>
      </c>
      <c r="B4" s="40">
        <v>4.91794871794872</v>
      </c>
      <c r="C4" s="40">
        <v>3.01464615384615</v>
      </c>
      <c r="D4" s="40">
        <v>1.90330256410256</v>
      </c>
      <c r="G4" s="39" t="s">
        <v>55</v>
      </c>
      <c r="H4" s="41">
        <v>0.154901642335766</v>
      </c>
    </row>
    <row r="5" spans="1:12">
      <c r="A5" s="39" t="s">
        <v>51</v>
      </c>
      <c r="B5" s="40">
        <v>3.8641025641025601</v>
      </c>
      <c r="C5" s="40">
        <v>2.5339865384615399</v>
      </c>
      <c r="D5" s="40">
        <v>1.33011602564103</v>
      </c>
      <c r="G5" s="39" t="s">
        <v>50</v>
      </c>
      <c r="H5" s="41">
        <v>0.35231699687174201</v>
      </c>
    </row>
    <row r="6" spans="1:12">
      <c r="A6" s="39" t="s">
        <v>50</v>
      </c>
      <c r="B6" s="40">
        <v>3.68846153846154</v>
      </c>
      <c r="C6" s="40">
        <v>2.38895384615385</v>
      </c>
      <c r="D6" s="40">
        <v>1.29950769230769</v>
      </c>
      <c r="G6" s="39" t="s">
        <v>51</v>
      </c>
      <c r="H6" s="41">
        <v>0.34422378898473799</v>
      </c>
    </row>
    <row r="7" spans="1:12">
      <c r="A7" s="39" t="s">
        <v>49</v>
      </c>
      <c r="B7" s="40">
        <v>3.5128205128205101</v>
      </c>
      <c r="C7" s="40">
        <v>2.6082115384615401</v>
      </c>
      <c r="D7" s="40">
        <v>0.90460897435897503</v>
      </c>
      <c r="G7" s="39" t="s">
        <v>49</v>
      </c>
      <c r="H7" s="41">
        <v>0.257516423357664</v>
      </c>
    </row>
    <row r="8" spans="1:12">
      <c r="A8" s="39" t="s">
        <v>54</v>
      </c>
      <c r="B8" s="40">
        <v>2.81025641025641</v>
      </c>
      <c r="C8" s="40">
        <v>2.1231249999999999</v>
      </c>
      <c r="D8" s="40">
        <v>0.68713141025641</v>
      </c>
      <c r="G8" s="39" t="s">
        <v>54</v>
      </c>
      <c r="H8" s="41">
        <v>0.24450843978102199</v>
      </c>
    </row>
    <row r="9" spans="1:12">
      <c r="A9" s="39" t="s">
        <v>55</v>
      </c>
      <c r="B9" s="40">
        <v>3.5128205128205101</v>
      </c>
      <c r="C9" s="40">
        <v>2.9686788461538498</v>
      </c>
      <c r="D9" s="40">
        <v>0.54414166666666697</v>
      </c>
      <c r="G9" s="39" t="s">
        <v>52</v>
      </c>
      <c r="H9" s="41">
        <v>-0.108391727493917</v>
      </c>
    </row>
    <row r="10" spans="1:12">
      <c r="A10" s="39" t="s">
        <v>53</v>
      </c>
      <c r="B10" s="40">
        <v>3.33717948717949</v>
      </c>
      <c r="C10" s="40">
        <v>3.3444288461538498</v>
      </c>
      <c r="D10" s="40">
        <v>-7.2493589743591099E-3</v>
      </c>
      <c r="G10" s="39" t="s">
        <v>53</v>
      </c>
      <c r="H10" s="41">
        <v>-2.1723011909335799E-3</v>
      </c>
    </row>
    <row r="11" spans="1:12">
      <c r="A11" s="39" t="s">
        <v>52</v>
      </c>
      <c r="B11" s="40">
        <v>3.1615384615384601</v>
      </c>
      <c r="C11" s="40">
        <v>3.50422307692308</v>
      </c>
      <c r="D11" s="40">
        <v>-0.34268461538461498</v>
      </c>
      <c r="G11" s="39" t="s">
        <v>56</v>
      </c>
      <c r="H11" s="41">
        <v>0.38701147028154298</v>
      </c>
    </row>
    <row r="12" spans="1:12">
      <c r="A12" s="39" t="s">
        <v>78</v>
      </c>
      <c r="B12" s="42">
        <v>3.60064102564102</v>
      </c>
      <c r="C12" s="42">
        <v>2.81078173076923</v>
      </c>
      <c r="D12" s="42">
        <v>0.78985929487179496</v>
      </c>
      <c r="G12" s="39" t="s">
        <v>78</v>
      </c>
      <c r="H12" s="41">
        <v>0.21936629873597999</v>
      </c>
    </row>
    <row r="16" spans="1:12">
      <c r="G16" s="39" t="s">
        <v>79</v>
      </c>
    </row>
    <row r="17" spans="1:16">
      <c r="G17" t="s">
        <v>80</v>
      </c>
      <c r="H17" t="s">
        <v>81</v>
      </c>
    </row>
    <row r="18" spans="1:16">
      <c r="A18" t="s">
        <v>73</v>
      </c>
      <c r="B18" t="s">
        <v>82</v>
      </c>
      <c r="C18" t="s">
        <v>83</v>
      </c>
      <c r="G18" t="s">
        <v>73</v>
      </c>
      <c r="H18" t="s">
        <v>19</v>
      </c>
      <c r="I18" t="s">
        <v>11</v>
      </c>
      <c r="J18" t="s">
        <v>38</v>
      </c>
      <c r="K18" t="s">
        <v>27</v>
      </c>
      <c r="L18" s="49" t="s">
        <v>84</v>
      </c>
    </row>
    <row r="19" spans="1:16">
      <c r="A19" s="39" t="s">
        <v>35</v>
      </c>
      <c r="B19" s="43">
        <v>0.25090301672585202</v>
      </c>
      <c r="C19" s="44">
        <v>6.3257716666666699</v>
      </c>
      <c r="G19" s="39" t="s">
        <v>55</v>
      </c>
      <c r="H19" s="45">
        <v>5.9305714285714302E-2</v>
      </c>
      <c r="I19" s="45">
        <v>0.16491666666666699</v>
      </c>
      <c r="J19" s="45">
        <v>0.63163999999999998</v>
      </c>
      <c r="K19" s="45">
        <v>0.42521158333333398</v>
      </c>
      <c r="L19" s="50">
        <f>SUM(H19:K19)</f>
        <v>1.2810739642857101</v>
      </c>
    </row>
    <row r="20" spans="1:16">
      <c r="A20" s="46" t="s">
        <v>56</v>
      </c>
      <c r="B20" s="47">
        <v>0.29370224396865402</v>
      </c>
      <c r="C20" s="45">
        <v>1.8578933333333301</v>
      </c>
      <c r="D20" s="48"/>
      <c r="E20" s="48"/>
      <c r="G20" s="39" t="s">
        <v>50</v>
      </c>
      <c r="H20" s="45">
        <v>0.48623142857142898</v>
      </c>
      <c r="I20" s="45">
        <v>0.90666666666666695</v>
      </c>
      <c r="J20" s="45">
        <v>0.77639999999999998</v>
      </c>
      <c r="K20" s="45">
        <v>0.89854800000000001</v>
      </c>
      <c r="L20" s="51">
        <f t="shared" ref="L20:L26" si="0">SUM(H20:K20)</f>
        <v>3.0678460952380999</v>
      </c>
    </row>
    <row r="21" spans="1:16">
      <c r="A21" s="46" t="s">
        <v>51</v>
      </c>
      <c r="B21" s="47">
        <v>0.219423295655892</v>
      </c>
      <c r="C21" s="45">
        <v>1.38802166666667</v>
      </c>
      <c r="G21" s="39" t="s">
        <v>51</v>
      </c>
      <c r="H21" s="45">
        <v>0.35543999999999998</v>
      </c>
      <c r="I21" s="45">
        <v>0.82520833333333299</v>
      </c>
      <c r="J21" s="45">
        <v>1.10811555555556</v>
      </c>
      <c r="K21" s="45">
        <v>1.3359350833333301</v>
      </c>
      <c r="L21" s="51">
        <f t="shared" si="0"/>
        <v>3.62469897222222</v>
      </c>
    </row>
    <row r="22" spans="1:16">
      <c r="A22" s="46" t="s">
        <v>50</v>
      </c>
      <c r="B22" s="47">
        <v>0.151930871148</v>
      </c>
      <c r="C22" s="45">
        <v>0.96108000000000005</v>
      </c>
      <c r="G22" s="39" t="s">
        <v>49</v>
      </c>
      <c r="H22" s="45">
        <v>0.169097142857143</v>
      </c>
      <c r="I22" s="45">
        <v>0.60364444444444398</v>
      </c>
      <c r="J22" s="45">
        <v>0.57079555555555495</v>
      </c>
      <c r="K22" s="45">
        <v>0.55849016666666695</v>
      </c>
      <c r="L22" s="50">
        <f t="shared" si="0"/>
        <v>1.9020273095238101</v>
      </c>
    </row>
    <row r="23" spans="1:16">
      <c r="A23" s="46" t="s">
        <v>49</v>
      </c>
      <c r="B23" s="47">
        <v>0.10036456685258199</v>
      </c>
      <c r="C23" s="45">
        <v>0.63488333333333302</v>
      </c>
      <c r="G23" s="39" t="s">
        <v>54</v>
      </c>
      <c r="H23" s="45">
        <v>0.16139999999999999</v>
      </c>
      <c r="I23" s="45">
        <v>0.49768888888888901</v>
      </c>
      <c r="J23" s="45">
        <v>0.86707111111111101</v>
      </c>
      <c r="K23" s="45">
        <v>0.43838300000000002</v>
      </c>
      <c r="L23" s="50">
        <f t="shared" si="0"/>
        <v>1.9645429999999999</v>
      </c>
    </row>
    <row r="24" spans="1:16">
      <c r="A24" s="46" t="s">
        <v>54</v>
      </c>
      <c r="B24" s="47">
        <v>9.2086788884518198E-2</v>
      </c>
      <c r="C24" s="45">
        <v>0.58252000000000004</v>
      </c>
      <c r="G24" s="39" t="s">
        <v>52</v>
      </c>
      <c r="H24" s="45">
        <v>-0.232940714285714</v>
      </c>
      <c r="I24" s="45">
        <v>-0.19005</v>
      </c>
      <c r="J24" s="45">
        <v>0.55617333333333296</v>
      </c>
      <c r="K24" s="45">
        <v>-0.63555300000000003</v>
      </c>
      <c r="L24" s="50">
        <f t="shared" si="0"/>
        <v>-0.50237038095238096</v>
      </c>
    </row>
    <row r="25" spans="1:16">
      <c r="A25" s="46" t="s">
        <v>55</v>
      </c>
      <c r="B25" s="47">
        <v>8.4621560004668694E-2</v>
      </c>
      <c r="C25" s="45">
        <v>0.53529666666666698</v>
      </c>
      <c r="G25" s="39" t="s">
        <v>53</v>
      </c>
      <c r="H25" s="45">
        <v>-6.60785714285715E-2</v>
      </c>
      <c r="I25" s="45">
        <v>-4.0744444444444403E-2</v>
      </c>
      <c r="J25" s="45">
        <v>0.83372444444444505</v>
      </c>
      <c r="K25" s="45">
        <v>-0.181263916666667</v>
      </c>
      <c r="L25" s="50">
        <f t="shared" si="0"/>
        <v>0.54563751190476195</v>
      </c>
    </row>
    <row r="26" spans="1:16">
      <c r="A26" s="46" t="s">
        <v>53</v>
      </c>
      <c r="B26" s="47">
        <v>4.599069994886E-2</v>
      </c>
      <c r="C26" s="45">
        <v>0.290926666666667</v>
      </c>
      <c r="G26" s="39" t="s">
        <v>56</v>
      </c>
      <c r="H26" s="45">
        <v>0.50706499999999999</v>
      </c>
      <c r="I26" s="45">
        <v>1.0842138888888899</v>
      </c>
      <c r="J26" s="45">
        <v>1.3567777777777801</v>
      </c>
      <c r="K26" s="45">
        <v>1.9484986666666699</v>
      </c>
      <c r="L26" s="51">
        <f t="shared" si="0"/>
        <v>4.89655533333333</v>
      </c>
    </row>
    <row r="27" spans="1:16">
      <c r="A27" s="46" t="s">
        <v>52</v>
      </c>
      <c r="B27" s="47">
        <v>1.18799735368254E-2</v>
      </c>
      <c r="C27" s="45">
        <v>7.5149999999999897E-2</v>
      </c>
      <c r="G27" s="39" t="s">
        <v>78</v>
      </c>
      <c r="H27" s="45">
        <v>0.17993999999999999</v>
      </c>
      <c r="I27" s="45">
        <v>0.481443055555556</v>
      </c>
      <c r="J27" s="45">
        <v>0.83758722222222204</v>
      </c>
      <c r="K27" s="45">
        <v>0.59853119791666698</v>
      </c>
    </row>
    <row r="28" spans="1:16">
      <c r="A28" s="39" t="s">
        <v>34</v>
      </c>
      <c r="B28" s="47">
        <v>0.23364775457790099</v>
      </c>
      <c r="C28" s="45">
        <v>5.89073166666667</v>
      </c>
    </row>
    <row r="29" spans="1:16">
      <c r="A29" s="46" t="s">
        <v>56</v>
      </c>
      <c r="B29" s="47">
        <v>0.30382190780488799</v>
      </c>
      <c r="C29" s="45">
        <v>1.7897333333333301</v>
      </c>
    </row>
    <row r="30" spans="1:16">
      <c r="A30" s="46" t="s">
        <v>51</v>
      </c>
      <c r="B30" s="47">
        <v>0.21767782666499599</v>
      </c>
      <c r="C30" s="45">
        <v>1.2822816666666701</v>
      </c>
      <c r="P30">
        <f>15*12</f>
        <v>180</v>
      </c>
    </row>
    <row r="31" spans="1:16">
      <c r="A31" s="46" t="s">
        <v>50</v>
      </c>
      <c r="B31" s="47">
        <v>0.15388241245640399</v>
      </c>
      <c r="C31" s="45">
        <v>0.90647999999999995</v>
      </c>
      <c r="P31">
        <f>1000000/180000</f>
        <v>5.5555555555555598</v>
      </c>
    </row>
    <row r="32" spans="1:16">
      <c r="A32" s="46" t="s">
        <v>49</v>
      </c>
      <c r="B32" s="47">
        <v>9.9410967341634696E-2</v>
      </c>
      <c r="C32" s="45">
        <v>0.58560333333333303</v>
      </c>
    </row>
    <row r="33" spans="1:12">
      <c r="A33" s="46" t="s">
        <v>54</v>
      </c>
      <c r="B33" s="47">
        <v>8.8824280175722303E-2</v>
      </c>
      <c r="C33" s="45">
        <v>0.52324000000000004</v>
      </c>
      <c r="G33" t="s">
        <v>76</v>
      </c>
      <c r="H33" t="s">
        <v>81</v>
      </c>
    </row>
    <row r="34" spans="1:12">
      <c r="A34" s="46" t="s">
        <v>55</v>
      </c>
      <c r="B34" s="47">
        <v>8.0233949432993404E-2</v>
      </c>
      <c r="C34" s="45">
        <v>0.47263666666666698</v>
      </c>
      <c r="G34" t="s">
        <v>73</v>
      </c>
      <c r="H34" t="s">
        <v>19</v>
      </c>
      <c r="I34" t="s">
        <v>11</v>
      </c>
      <c r="J34" t="s">
        <v>38</v>
      </c>
      <c r="K34" t="s">
        <v>27</v>
      </c>
      <c r="L34" t="s">
        <v>78</v>
      </c>
    </row>
    <row r="35" spans="1:12">
      <c r="A35" s="46" t="s">
        <v>53</v>
      </c>
      <c r="B35" s="47">
        <v>4.6385862084477897E-2</v>
      </c>
      <c r="C35" s="45">
        <v>0.27324666666666703</v>
      </c>
      <c r="G35" s="39" t="s">
        <v>55</v>
      </c>
      <c r="H35" s="42">
        <v>0.29652857142857197</v>
      </c>
      <c r="I35" s="42">
        <v>0.21988888888888899</v>
      </c>
      <c r="J35" s="42">
        <v>1.40364444444444</v>
      </c>
      <c r="K35" s="42">
        <v>0.65417166666666704</v>
      </c>
      <c r="L35" s="42">
        <v>0.54414166666666697</v>
      </c>
    </row>
    <row r="36" spans="1:12">
      <c r="A36" s="46" t="s">
        <v>52</v>
      </c>
      <c r="B36" s="47">
        <v>9.7627940388842899E-3</v>
      </c>
      <c r="C36" s="45">
        <v>5.7510000000000297E-2</v>
      </c>
      <c r="G36" s="39" t="s">
        <v>50</v>
      </c>
      <c r="H36" s="42">
        <v>0.88405714285714299</v>
      </c>
      <c r="I36" s="42">
        <v>1.13333333333333</v>
      </c>
      <c r="J36" s="42">
        <v>1.9410000000000001</v>
      </c>
      <c r="K36" s="42">
        <v>1.4975799999999999</v>
      </c>
      <c r="L36" s="42">
        <v>1.29950769230769</v>
      </c>
    </row>
    <row r="37" spans="1:12">
      <c r="A37" s="39" t="s">
        <v>28</v>
      </c>
      <c r="B37" s="47">
        <v>0.23364775457790099</v>
      </c>
      <c r="C37" s="45">
        <v>5.89073166666667</v>
      </c>
      <c r="G37" s="39" t="s">
        <v>51</v>
      </c>
      <c r="H37" s="42">
        <v>0.88859999999999995</v>
      </c>
      <c r="I37" s="42">
        <v>1.1002777777777799</v>
      </c>
      <c r="J37" s="42">
        <v>2.0147555555555599</v>
      </c>
      <c r="K37" s="42">
        <v>1.57168833333333</v>
      </c>
      <c r="L37" s="42">
        <v>1.33011602564103</v>
      </c>
    </row>
    <row r="38" spans="1:12">
      <c r="A38" s="46" t="s">
        <v>56</v>
      </c>
      <c r="B38" s="47">
        <v>0.30382190780488799</v>
      </c>
      <c r="C38" s="45">
        <v>1.7897333333333301</v>
      </c>
      <c r="G38" s="39" t="s">
        <v>49</v>
      </c>
      <c r="H38" s="42">
        <v>0.56365714285714297</v>
      </c>
      <c r="I38" s="42">
        <v>0.75455555555555598</v>
      </c>
      <c r="J38" s="42">
        <v>1.6308444444444401</v>
      </c>
      <c r="K38" s="42">
        <v>1.0154366666666701</v>
      </c>
      <c r="L38" s="42">
        <v>0.90460897435897503</v>
      </c>
    </row>
    <row r="39" spans="1:12">
      <c r="A39" s="46" t="s">
        <v>51</v>
      </c>
      <c r="B39" s="47">
        <v>0.21767782666499599</v>
      </c>
      <c r="C39" s="45">
        <v>1.2822816666666701</v>
      </c>
      <c r="G39" s="39" t="s">
        <v>54</v>
      </c>
      <c r="H39" s="42">
        <v>0.40350000000000003</v>
      </c>
      <c r="I39" s="42">
        <v>0.62211111111111095</v>
      </c>
      <c r="J39" s="42">
        <v>1.33395555555556</v>
      </c>
      <c r="K39" s="42">
        <v>0.73063833333333295</v>
      </c>
      <c r="L39" s="42">
        <v>0.68713141025641</v>
      </c>
    </row>
    <row r="40" spans="1:12">
      <c r="A40" s="46" t="s">
        <v>50</v>
      </c>
      <c r="B40" s="47">
        <v>0.15388241245640399</v>
      </c>
      <c r="C40" s="45">
        <v>0.90647999999999995</v>
      </c>
      <c r="G40" s="39" t="s">
        <v>52</v>
      </c>
      <c r="H40" s="42">
        <v>-0.42352857142857098</v>
      </c>
      <c r="I40" s="42">
        <v>-0.211166666666667</v>
      </c>
      <c r="J40" s="42">
        <v>0.79453333333333298</v>
      </c>
      <c r="K40" s="42">
        <v>-0.70616999999999996</v>
      </c>
      <c r="L40" s="42">
        <v>-0.34268461538461498</v>
      </c>
    </row>
    <row r="41" spans="1:12">
      <c r="A41" s="46" t="s">
        <v>49</v>
      </c>
      <c r="B41" s="47">
        <v>9.9410967341634696E-2</v>
      </c>
      <c r="C41" s="45">
        <v>0.58560333333333303</v>
      </c>
      <c r="G41" s="39" t="s">
        <v>53</v>
      </c>
      <c r="H41" s="42">
        <v>-0.132157142857143</v>
      </c>
      <c r="I41" s="42">
        <v>-4.28888888888889E-2</v>
      </c>
      <c r="J41" s="42">
        <v>1.0421555555555599</v>
      </c>
      <c r="K41" s="42">
        <v>-0.21325166666666701</v>
      </c>
      <c r="L41" s="42">
        <v>-7.2493589743591203E-3</v>
      </c>
    </row>
    <row r="42" spans="1:12">
      <c r="A42" s="46" t="s">
        <v>54</v>
      </c>
      <c r="B42" s="47">
        <v>8.8824280175722303E-2</v>
      </c>
      <c r="C42" s="45">
        <v>0.52324000000000004</v>
      </c>
      <c r="G42" s="39" t="s">
        <v>56</v>
      </c>
      <c r="H42" s="42">
        <v>1.44875714285714</v>
      </c>
      <c r="I42" s="42">
        <v>1.1412777777777801</v>
      </c>
      <c r="J42" s="42">
        <v>2.7135555555555602</v>
      </c>
      <c r="K42" s="42">
        <v>2.4356233333333299</v>
      </c>
      <c r="L42" s="42">
        <v>1.90330256410256</v>
      </c>
    </row>
    <row r="43" spans="1:12">
      <c r="A43" s="46" t="s">
        <v>55</v>
      </c>
      <c r="B43" s="47">
        <v>8.0233949432993404E-2</v>
      </c>
      <c r="C43" s="45">
        <v>0.47263666666666698</v>
      </c>
      <c r="G43" s="39" t="s">
        <v>78</v>
      </c>
      <c r="H43" s="42">
        <v>0.49117678571428602</v>
      </c>
      <c r="I43" s="42">
        <v>0.58967361111111105</v>
      </c>
      <c r="J43" s="42">
        <v>1.60930555555556</v>
      </c>
      <c r="K43" s="42">
        <v>0.87321458333333402</v>
      </c>
      <c r="L43" s="42">
        <v>0.78985929487179496</v>
      </c>
    </row>
    <row r="44" spans="1:12">
      <c r="A44" s="46" t="s">
        <v>53</v>
      </c>
      <c r="B44" s="47">
        <v>4.6385862084477897E-2</v>
      </c>
      <c r="C44" s="45">
        <v>0.27324666666666703</v>
      </c>
    </row>
    <row r="45" spans="1:12">
      <c r="A45" s="46" t="s">
        <v>52</v>
      </c>
      <c r="B45" s="47">
        <v>9.7627940388842899E-3</v>
      </c>
      <c r="C45" s="45">
        <v>5.7510000000000297E-2</v>
      </c>
    </row>
    <row r="46" spans="1:12">
      <c r="A46" s="39" t="s">
        <v>33</v>
      </c>
      <c r="B46" s="47">
        <v>0.129065393182346</v>
      </c>
      <c r="C46" s="45">
        <v>3.2539991666666701</v>
      </c>
    </row>
    <row r="47" spans="1:12">
      <c r="A47" s="46" t="s">
        <v>56</v>
      </c>
      <c r="B47" s="47">
        <v>0.59747198255275102</v>
      </c>
      <c r="C47" s="45">
        <v>1.94417333333333</v>
      </c>
    </row>
    <row r="48" spans="1:12">
      <c r="A48" s="46" t="s">
        <v>51</v>
      </c>
      <c r="B48" s="47">
        <v>0.39538245118378701</v>
      </c>
      <c r="C48" s="45">
        <v>1.2865741666666699</v>
      </c>
    </row>
    <row r="49" spans="1:12">
      <c r="A49" s="46" t="s">
        <v>50</v>
      </c>
      <c r="B49" s="47">
        <v>0.25255691778245198</v>
      </c>
      <c r="C49" s="45">
        <v>0.82181999999999999</v>
      </c>
    </row>
    <row r="50" spans="1:12">
      <c r="A50" s="46" t="s">
        <v>49</v>
      </c>
      <c r="B50" s="47">
        <v>0.14702165207479301</v>
      </c>
      <c r="C50" s="45">
        <v>0.47840833333333399</v>
      </c>
    </row>
    <row r="51" spans="1:12">
      <c r="A51" s="46" t="s">
        <v>55</v>
      </c>
      <c r="B51" s="47">
        <v>0.103099801039695</v>
      </c>
      <c r="C51" s="45">
        <v>0.33548666666666699</v>
      </c>
      <c r="G51" t="s">
        <v>85</v>
      </c>
    </row>
    <row r="52" spans="1:12">
      <c r="A52" s="46" t="s">
        <v>54</v>
      </c>
      <c r="B52" s="47">
        <v>9.7443171850843002E-2</v>
      </c>
      <c r="C52" s="45">
        <v>0.31707999999999997</v>
      </c>
      <c r="G52" t="s">
        <v>86</v>
      </c>
      <c r="H52" t="s">
        <v>81</v>
      </c>
    </row>
    <row r="53" spans="1:12">
      <c r="A53" s="46" t="s">
        <v>53</v>
      </c>
      <c r="B53" s="47">
        <v>-0.198638137327939</v>
      </c>
      <c r="C53" s="45">
        <v>-0.64636833333333399</v>
      </c>
      <c r="G53" t="s">
        <v>73</v>
      </c>
      <c r="H53" t="s">
        <v>19</v>
      </c>
      <c r="I53" t="s">
        <v>11</v>
      </c>
      <c r="J53" t="s">
        <v>38</v>
      </c>
      <c r="K53" t="s">
        <v>27</v>
      </c>
      <c r="L53" s="49" t="s">
        <v>87</v>
      </c>
    </row>
    <row r="54" spans="1:12">
      <c r="A54" s="46" t="s">
        <v>52</v>
      </c>
      <c r="B54" s="47">
        <v>-0.39433783915638099</v>
      </c>
      <c r="C54" s="45">
        <v>-1.283175</v>
      </c>
      <c r="G54" s="39" t="s">
        <v>55</v>
      </c>
      <c r="H54" s="45">
        <v>0.51212285714285699</v>
      </c>
      <c r="I54" s="45">
        <v>1.5017499999999999</v>
      </c>
      <c r="J54" s="45">
        <v>0.86836000000000002</v>
      </c>
      <c r="K54" s="45">
        <v>2.69478841666667</v>
      </c>
      <c r="L54" s="45">
        <f>SUM(H54:K54)</f>
        <v>5.5770212738095202</v>
      </c>
    </row>
    <row r="55" spans="1:12">
      <c r="A55" s="39" t="s">
        <v>31</v>
      </c>
      <c r="B55" s="47">
        <v>0.124288537910639</v>
      </c>
      <c r="C55" s="45">
        <v>3.1335649999999999</v>
      </c>
      <c r="G55" s="39" t="s">
        <v>50</v>
      </c>
      <c r="H55" s="45">
        <v>1.1637685714285699</v>
      </c>
      <c r="I55" s="45">
        <v>0.96</v>
      </c>
      <c r="J55" s="45">
        <v>0.62360000000000004</v>
      </c>
      <c r="K55" s="45">
        <v>2.1254520000000001</v>
      </c>
      <c r="L55" s="45">
        <f t="shared" ref="L55:L61" si="1">SUM(H55:K55)</f>
        <v>4.8728205714285702</v>
      </c>
    </row>
    <row r="56" spans="1:12">
      <c r="A56" s="46" t="s">
        <v>56</v>
      </c>
      <c r="B56" s="47">
        <v>0.45742149915511598</v>
      </c>
      <c r="C56" s="45">
        <v>1.43336</v>
      </c>
      <c r="G56" s="39" t="s">
        <v>51</v>
      </c>
      <c r="H56" s="45">
        <v>0.90170285714285703</v>
      </c>
      <c r="I56" s="45">
        <v>1.0081249999999999</v>
      </c>
      <c r="J56" s="45">
        <v>0.90855111111111098</v>
      </c>
      <c r="K56" s="45">
        <v>3.1520649166666699</v>
      </c>
      <c r="L56" s="45">
        <f t="shared" si="1"/>
        <v>5.9704438849206296</v>
      </c>
    </row>
    <row r="57" spans="1:12">
      <c r="A57" s="46" t="s">
        <v>51</v>
      </c>
      <c r="B57" s="47">
        <v>0.31419645036882898</v>
      </c>
      <c r="C57" s="45">
        <v>0.98455499999999996</v>
      </c>
      <c r="G57" s="39" t="s">
        <v>49</v>
      </c>
      <c r="H57" s="45">
        <v>0.68804571428571404</v>
      </c>
      <c r="I57" s="45">
        <v>1.1741333333333299</v>
      </c>
      <c r="J57" s="45">
        <v>0.59587111111111102</v>
      </c>
      <c r="K57" s="45">
        <v>2.08150983333333</v>
      </c>
      <c r="L57" s="45">
        <f t="shared" si="1"/>
        <v>4.5395599920634897</v>
      </c>
    </row>
    <row r="58" spans="1:12">
      <c r="A58" s="46" t="s">
        <v>50</v>
      </c>
      <c r="B58" s="47">
        <v>0.20568266495189999</v>
      </c>
      <c r="C58" s="45">
        <v>0.64451999999999998</v>
      </c>
      <c r="G58" s="39" t="s">
        <v>54</v>
      </c>
      <c r="H58" s="45">
        <v>0.75288571428571405</v>
      </c>
      <c r="I58" s="45">
        <v>0.92453333333333299</v>
      </c>
      <c r="J58" s="45">
        <v>0.86626222222222204</v>
      </c>
      <c r="K58" s="45">
        <v>1.8656170000000001</v>
      </c>
      <c r="L58" s="45">
        <f t="shared" si="1"/>
        <v>4.4092982698412699</v>
      </c>
    </row>
    <row r="59" spans="1:12">
      <c r="A59" s="46" t="s">
        <v>49</v>
      </c>
      <c r="B59" s="47">
        <v>0.12584707832771899</v>
      </c>
      <c r="C59" s="45">
        <v>0.39434999999999998</v>
      </c>
      <c r="G59" s="39" t="s">
        <v>52</v>
      </c>
      <c r="H59" s="45">
        <v>1.64722642857143</v>
      </c>
      <c r="I59" s="45">
        <v>1.9900500000000001</v>
      </c>
      <c r="J59" s="45">
        <v>1.54382666666667</v>
      </c>
      <c r="K59" s="45">
        <v>4.5235529999999997</v>
      </c>
      <c r="L59" s="45">
        <f t="shared" si="1"/>
        <v>9.7046560952381</v>
      </c>
    </row>
    <row r="60" spans="1:12">
      <c r="A60" s="46" t="s">
        <v>55</v>
      </c>
      <c r="B60" s="47">
        <v>9.58748262761423E-2</v>
      </c>
      <c r="C60" s="45">
        <v>0.30042999999999997</v>
      </c>
      <c r="G60" s="39" t="s">
        <v>53</v>
      </c>
      <c r="H60" s="45">
        <v>1.42322142857143</v>
      </c>
      <c r="I60" s="45">
        <v>2.0463</v>
      </c>
      <c r="J60" s="45">
        <v>1.6996088888888901</v>
      </c>
      <c r="K60" s="45">
        <v>4.0572639166666704</v>
      </c>
      <c r="L60" s="45">
        <f t="shared" si="1"/>
        <v>9.2263942341269907</v>
      </c>
    </row>
    <row r="61" spans="1:12">
      <c r="A61" s="46" t="s">
        <v>54</v>
      </c>
      <c r="B61" s="47">
        <v>9.4550456109894099E-2</v>
      </c>
      <c r="C61" s="45">
        <v>0.29627999999999999</v>
      </c>
      <c r="G61" s="39" t="s">
        <v>56</v>
      </c>
      <c r="H61" s="45">
        <v>0.89293500000000003</v>
      </c>
      <c r="I61" s="45">
        <v>1.87134166666667</v>
      </c>
      <c r="J61" s="45">
        <v>0.97655555555555595</v>
      </c>
      <c r="K61" s="45">
        <v>3.4275013333333302</v>
      </c>
      <c r="L61" s="45">
        <f t="shared" si="1"/>
        <v>7.1683335555555603</v>
      </c>
    </row>
    <row r="62" spans="1:12">
      <c r="A62" s="46" t="s">
        <v>53</v>
      </c>
      <c r="B62" s="47">
        <v>-8.5717066663688293E-2</v>
      </c>
      <c r="C62" s="45">
        <v>-0.26860000000000001</v>
      </c>
      <c r="G62" s="39" t="s">
        <v>78</v>
      </c>
      <c r="H62" s="45">
        <v>0.99773857142857103</v>
      </c>
      <c r="I62" s="45">
        <v>1.43452916666667</v>
      </c>
      <c r="J62" s="45">
        <v>1.01032944444444</v>
      </c>
      <c r="K62" s="45">
        <v>2.99096880208333</v>
      </c>
    </row>
    <row r="63" spans="1:12">
      <c r="A63" s="46" t="s">
        <v>52</v>
      </c>
      <c r="B63" s="47">
        <v>-0.20785590852591199</v>
      </c>
      <c r="C63" s="45">
        <v>-0.65132999999999996</v>
      </c>
    </row>
    <row r="64" spans="1:12">
      <c r="A64" s="39" t="s">
        <v>32</v>
      </c>
      <c r="B64" s="47">
        <v>0.111245916010363</v>
      </c>
      <c r="C64" s="45">
        <v>2.8047341666666701</v>
      </c>
    </row>
    <row r="65" spans="1:9">
      <c r="A65" s="46" t="s">
        <v>56</v>
      </c>
      <c r="B65" s="47">
        <v>0.68633004732177505</v>
      </c>
      <c r="C65" s="45">
        <v>1.9249733333333301</v>
      </c>
    </row>
    <row r="66" spans="1:9">
      <c r="A66" s="46" t="s">
        <v>51</v>
      </c>
      <c r="B66" s="47">
        <v>0.446441299695366</v>
      </c>
      <c r="C66" s="45">
        <v>1.25214916666667</v>
      </c>
      <c r="G66" t="s">
        <v>62</v>
      </c>
      <c r="H66" t="s">
        <v>88</v>
      </c>
      <c r="I66" t="s">
        <v>89</v>
      </c>
    </row>
    <row r="67" spans="1:9">
      <c r="A67" s="46" t="s">
        <v>50</v>
      </c>
      <c r="B67" s="47">
        <v>0.27876438676155002</v>
      </c>
      <c r="C67" s="45">
        <v>0.78186</v>
      </c>
      <c r="G67" t="s">
        <v>55</v>
      </c>
      <c r="H67" s="52">
        <v>10</v>
      </c>
      <c r="I67" s="52">
        <v>0.5</v>
      </c>
    </row>
    <row r="68" spans="1:9">
      <c r="A68" s="46" t="s">
        <v>49</v>
      </c>
      <c r="B68" s="47">
        <v>0.162923937235882</v>
      </c>
      <c r="C68" s="45">
        <v>0.45695833333333402</v>
      </c>
      <c r="G68" t="s">
        <v>50</v>
      </c>
      <c r="H68" s="52">
        <v>10.5</v>
      </c>
      <c r="I68" s="52">
        <v>0.52500000000000002</v>
      </c>
    </row>
    <row r="69" spans="1:9">
      <c r="A69" s="46" t="s">
        <v>55</v>
      </c>
      <c r="B69" s="47">
        <v>0.11718104003320599</v>
      </c>
      <c r="C69" s="45">
        <v>0.32866166666666802</v>
      </c>
      <c r="G69" t="s">
        <v>51</v>
      </c>
      <c r="H69" s="52">
        <v>11</v>
      </c>
      <c r="I69" s="52">
        <v>0.55000000000000004</v>
      </c>
    </row>
    <row r="70" spans="1:9">
      <c r="A70" s="46" t="s">
        <v>54</v>
      </c>
      <c r="B70" s="47">
        <v>9.6173107314685993E-2</v>
      </c>
      <c r="C70" s="45">
        <v>0.26973999999999998</v>
      </c>
      <c r="G70" t="s">
        <v>49</v>
      </c>
      <c r="H70" s="52">
        <v>10</v>
      </c>
      <c r="I70" s="52">
        <v>0.5</v>
      </c>
    </row>
    <row r="71" spans="1:9">
      <c r="A71" s="46" t="s">
        <v>53</v>
      </c>
      <c r="B71" s="47">
        <v>-0.269278045067254</v>
      </c>
      <c r="C71" s="45">
        <v>-0.755253333333334</v>
      </c>
      <c r="G71" t="s">
        <v>54</v>
      </c>
      <c r="H71" s="52">
        <v>8</v>
      </c>
      <c r="I71" s="52">
        <v>0.4</v>
      </c>
    </row>
    <row r="72" spans="1:9">
      <c r="A72" s="46" t="s">
        <v>52</v>
      </c>
      <c r="B72" s="47">
        <v>-0.51853577329520995</v>
      </c>
      <c r="C72" s="45">
        <v>-1.4543550000000001</v>
      </c>
      <c r="G72" t="s">
        <v>52</v>
      </c>
      <c r="H72" s="52">
        <v>9</v>
      </c>
      <c r="I72" s="52">
        <v>0.45</v>
      </c>
    </row>
    <row r="73" spans="1:9">
      <c r="A73" s="39" t="s">
        <v>29</v>
      </c>
      <c r="B73" s="47">
        <v>6.7580531944040198E-3</v>
      </c>
      <c r="C73" s="45">
        <v>0.170384166666667</v>
      </c>
      <c r="G73" t="s">
        <v>53</v>
      </c>
      <c r="H73" s="52">
        <v>9.5</v>
      </c>
      <c r="I73" s="52">
        <v>0.47499999999999998</v>
      </c>
    </row>
    <row r="74" spans="1:9">
      <c r="A74" s="46" t="s">
        <v>56</v>
      </c>
      <c r="B74" s="47">
        <v>6.0006358180777601</v>
      </c>
      <c r="C74" s="45">
        <v>1.0224133333333301</v>
      </c>
      <c r="G74" t="s">
        <v>56</v>
      </c>
      <c r="H74" s="52">
        <v>14</v>
      </c>
      <c r="I74" s="52">
        <v>0.7</v>
      </c>
    </row>
    <row r="75" spans="1:9">
      <c r="A75" s="46" t="s">
        <v>51</v>
      </c>
      <c r="B75" s="47">
        <v>4.00453387198535</v>
      </c>
      <c r="C75" s="45">
        <v>0.68230916666666697</v>
      </c>
      <c r="G75" t="s">
        <v>78</v>
      </c>
      <c r="H75" s="52">
        <v>10.25</v>
      </c>
      <c r="I75" s="52">
        <v>0.51249999999999996</v>
      </c>
    </row>
    <row r="76" spans="1:9">
      <c r="A76" s="46" t="s">
        <v>50</v>
      </c>
      <c r="B76" s="47">
        <v>2.7791314725057501</v>
      </c>
      <c r="C76" s="45">
        <v>0.47352</v>
      </c>
    </row>
    <row r="77" spans="1:9">
      <c r="A77" s="46" t="s">
        <v>54</v>
      </c>
      <c r="B77" s="47">
        <v>0.95490093465257198</v>
      </c>
      <c r="C77" s="45">
        <v>0.16270000000000001</v>
      </c>
    </row>
    <row r="78" spans="1:9">
      <c r="A78" s="46" t="s">
        <v>49</v>
      </c>
      <c r="B78" s="47">
        <v>0.64312509476134605</v>
      </c>
      <c r="C78" s="45">
        <v>0.109578333333333</v>
      </c>
    </row>
    <row r="79" spans="1:9">
      <c r="A79" s="46" t="s">
        <v>55</v>
      </c>
      <c r="B79" s="47">
        <v>-1.0939885846200501</v>
      </c>
      <c r="C79" s="45">
        <v>-0.186398333333333</v>
      </c>
    </row>
    <row r="80" spans="1:9">
      <c r="A80" s="46" t="s">
        <v>53</v>
      </c>
      <c r="B80" s="47">
        <v>-5.18195646113438</v>
      </c>
      <c r="C80" s="45">
        <v>-0.88292333333333395</v>
      </c>
    </row>
    <row r="81" spans="1:3">
      <c r="A81" s="46" t="s">
        <v>52</v>
      </c>
      <c r="B81" s="47">
        <v>-7.1063821462283503</v>
      </c>
      <c r="C81" s="45">
        <v>-1.210815</v>
      </c>
    </row>
    <row r="82" spans="1:3">
      <c r="A82" s="39" t="s">
        <v>30</v>
      </c>
      <c r="B82" s="47">
        <v>-8.9556426179405194E-2</v>
      </c>
      <c r="C82" s="45">
        <v>-2.2578983333333298</v>
      </c>
    </row>
    <row r="83" spans="1:3">
      <c r="A83" s="46" t="s">
        <v>56</v>
      </c>
      <c r="B83" s="47">
        <v>-0.340995571840776</v>
      </c>
      <c r="C83" s="45">
        <v>0.76993333333333402</v>
      </c>
    </row>
    <row r="84" spans="1:3">
      <c r="A84" s="46" t="s">
        <v>51</v>
      </c>
      <c r="B84" s="47">
        <v>-0.12357804713675501</v>
      </c>
      <c r="C84" s="45">
        <v>0.27902666666666698</v>
      </c>
    </row>
    <row r="85" spans="1:3">
      <c r="A85" s="46" t="s">
        <v>50</v>
      </c>
      <c r="B85" s="47">
        <v>-9.2927124708154202E-2</v>
      </c>
      <c r="C85" s="45">
        <v>0.20982000000000001</v>
      </c>
    </row>
    <row r="86" spans="1:3">
      <c r="A86" s="46" t="s">
        <v>49</v>
      </c>
      <c r="B86" s="47">
        <v>4.06956616735768E-2</v>
      </c>
      <c r="C86" s="45">
        <v>-9.1886666666666297E-2</v>
      </c>
    </row>
    <row r="87" spans="1:3">
      <c r="A87" s="46" t="s">
        <v>54</v>
      </c>
      <c r="B87" s="47">
        <v>5.9121351049906901E-2</v>
      </c>
      <c r="C87" s="45">
        <v>-0.13349</v>
      </c>
    </row>
    <row r="88" spans="1:3">
      <c r="A88" s="46" t="s">
        <v>55</v>
      </c>
      <c r="B88" s="47">
        <v>0.173365127895484</v>
      </c>
      <c r="C88" s="45">
        <v>-0.39144083333333402</v>
      </c>
    </row>
    <row r="89" spans="1:3">
      <c r="A89" s="46" t="s">
        <v>53</v>
      </c>
      <c r="B89" s="47">
        <v>0.53508867759767798</v>
      </c>
      <c r="C89" s="45">
        <v>-1.2081758333333299</v>
      </c>
    </row>
    <row r="90" spans="1:3">
      <c r="A90" s="46" t="s">
        <v>52</v>
      </c>
      <c r="B90" s="47">
        <v>0.74922992546903899</v>
      </c>
      <c r="C90" s="45">
        <v>-1.6916850000000001</v>
      </c>
    </row>
    <row r="91" spans="1:3">
      <c r="A91" s="39" t="s">
        <v>78</v>
      </c>
      <c r="B91" s="47">
        <v>1</v>
      </c>
      <c r="C91" s="45">
        <v>25.2120191666667</v>
      </c>
    </row>
  </sheetData>
  <mergeCells count="1">
    <mergeCell ref="G2:L2"/>
  </mergeCells>
  <pageMargins left="0.7" right="0.7" top="0.75" bottom="0.75" header="0.3" footer="0.3"/>
  <pageSetup paperSize="9" orientation="portrait"/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I41"/>
  <sheetViews>
    <sheetView topLeftCell="A13" workbookViewId="0">
      <selection activeCell="K20" sqref="K20"/>
    </sheetView>
  </sheetViews>
  <sheetFormatPr defaultColWidth="9" defaultRowHeight="15.75"/>
  <cols>
    <col min="1" max="1" width="38.375" customWidth="1"/>
    <col min="2" max="2" width="12.75" customWidth="1"/>
    <col min="3" max="3" width="19.75" customWidth="1"/>
    <col min="4" max="4" width="17.75" customWidth="1"/>
    <col min="5" max="5" width="2.75" customWidth="1"/>
    <col min="6" max="6" width="22.25" customWidth="1"/>
    <col min="7" max="7" width="21.25" customWidth="1"/>
  </cols>
  <sheetData>
    <row r="1" spans="1:9">
      <c r="A1" s="17" t="s">
        <v>90</v>
      </c>
      <c r="B1" s="17">
        <f>B3+B4</f>
        <v>10</v>
      </c>
    </row>
    <row r="2" spans="1:9">
      <c r="A2" s="17" t="s">
        <v>91</v>
      </c>
      <c r="B2" s="17">
        <f>4*2+6*4</f>
        <v>32</v>
      </c>
    </row>
    <row r="3" spans="1:9">
      <c r="A3" s="18" t="s">
        <v>92</v>
      </c>
      <c r="B3" s="17">
        <v>6</v>
      </c>
    </row>
    <row r="4" spans="1:9">
      <c r="A4" s="18" t="s">
        <v>93</v>
      </c>
      <c r="B4" s="17">
        <v>4</v>
      </c>
    </row>
    <row r="5" spans="1:9">
      <c r="A5" s="17" t="s">
        <v>94</v>
      </c>
      <c r="B5" s="17">
        <f>B7-B6</f>
        <v>12</v>
      </c>
    </row>
    <row r="6" spans="1:9" s="15" customFormat="1" ht="12.6" customHeight="1">
      <c r="A6" s="19" t="s">
        <v>95</v>
      </c>
      <c r="B6" s="20">
        <v>8</v>
      </c>
    </row>
    <row r="7" spans="1:9" s="15" customFormat="1" ht="12.6" customHeight="1">
      <c r="A7" s="19" t="s">
        <v>96</v>
      </c>
      <c r="B7" s="20">
        <v>20</v>
      </c>
    </row>
    <row r="8" spans="1:9">
      <c r="A8" s="17" t="s">
        <v>97</v>
      </c>
      <c r="B8" s="17">
        <f>B5*0.8</f>
        <v>9.6</v>
      </c>
    </row>
    <row r="9" spans="1:9">
      <c r="A9" s="17" t="s">
        <v>98</v>
      </c>
      <c r="B9" s="17">
        <v>10</v>
      </c>
    </row>
    <row r="10" spans="1:9">
      <c r="A10" s="17" t="s">
        <v>99</v>
      </c>
      <c r="B10" s="21">
        <f>B9*B2</f>
        <v>320</v>
      </c>
    </row>
    <row r="11" spans="1:9">
      <c r="A11" s="17" t="s">
        <v>100</v>
      </c>
      <c r="B11" s="22">
        <f>25</f>
        <v>25</v>
      </c>
    </row>
    <row r="12" spans="1:9">
      <c r="A12" s="23"/>
      <c r="B12" s="24"/>
    </row>
    <row r="13" spans="1:9">
      <c r="A13" s="23"/>
      <c r="B13" s="24"/>
    </row>
    <row r="15" spans="1:9">
      <c r="A15" s="17"/>
      <c r="B15" s="17" t="s">
        <v>61</v>
      </c>
      <c r="C15" s="17" t="s">
        <v>101</v>
      </c>
      <c r="D15" s="25" t="s">
        <v>102</v>
      </c>
      <c r="F15" s="26" t="s">
        <v>103</v>
      </c>
      <c r="G15" s="26" t="s">
        <v>104</v>
      </c>
    </row>
    <row r="16" spans="1:9">
      <c r="A16" s="27" t="s">
        <v>49</v>
      </c>
      <c r="B16" s="28">
        <f>'Mean order price'!V3</f>
        <v>6.4415873015873029</v>
      </c>
      <c r="C16" s="28">
        <f>B16*$B$10*$B$11</f>
        <v>51532.698412698424</v>
      </c>
      <c r="D16" s="29">
        <f>C16*12</f>
        <v>618392.38095238106</v>
      </c>
      <c r="F16" s="30">
        <v>1.9020273095238101</v>
      </c>
      <c r="G16" s="30">
        <f>F16*$B$10*$B$11</f>
        <v>15216.218476190499</v>
      </c>
      <c r="I16" s="38">
        <f>F16/B16</f>
        <v>0.29527307796560054</v>
      </c>
    </row>
    <row r="17" spans="1:9">
      <c r="A17" s="17" t="s">
        <v>50</v>
      </c>
      <c r="B17" s="28">
        <f>'Mean order price'!V4</f>
        <v>7.9406666666666679</v>
      </c>
      <c r="C17" s="28">
        <f t="shared" ref="C17:C23" si="0">B17*$B$10*$B$11</f>
        <v>63525.333333333343</v>
      </c>
      <c r="D17" s="29">
        <f t="shared" ref="D17:D23" si="1">C17*12</f>
        <v>762304.00000000012</v>
      </c>
      <c r="F17" s="30">
        <v>3.0678460952380999</v>
      </c>
      <c r="G17" s="30">
        <f t="shared" ref="G17:G23" si="2">F17*$B$10*$B$11</f>
        <v>24542.768761904801</v>
      </c>
      <c r="I17" s="38">
        <f t="shared" ref="I17:I23" si="3">F17/B17</f>
        <v>0.38634616261079247</v>
      </c>
    </row>
    <row r="18" spans="1:9">
      <c r="A18" s="17" t="s">
        <v>51</v>
      </c>
      <c r="B18" s="28">
        <f>'Mean order price'!V5</f>
        <v>9.5951428571428572</v>
      </c>
      <c r="C18" s="28">
        <f t="shared" si="0"/>
        <v>76761.14285714287</v>
      </c>
      <c r="D18" s="29">
        <f t="shared" si="1"/>
        <v>921133.71428571444</v>
      </c>
      <c r="F18" s="30">
        <v>3.62469897222222</v>
      </c>
      <c r="G18" s="30">
        <f t="shared" si="2"/>
        <v>28997.591777777801</v>
      </c>
      <c r="I18" s="38">
        <f t="shared" si="3"/>
        <v>0.37776394017144893</v>
      </c>
    </row>
    <row r="19" spans="1:9">
      <c r="A19" s="31" t="s">
        <v>52</v>
      </c>
      <c r="B19" s="28">
        <f>'Mean order price'!V6</f>
        <v>9.2022857142857148</v>
      </c>
      <c r="C19" s="28">
        <f t="shared" si="0"/>
        <v>73618.285714285725</v>
      </c>
      <c r="D19" s="29">
        <f t="shared" si="1"/>
        <v>883419.42857142864</v>
      </c>
      <c r="F19" s="30">
        <v>-0.50237038095238096</v>
      </c>
      <c r="G19" s="30">
        <f t="shared" si="2"/>
        <v>-4018.96304761905</v>
      </c>
      <c r="I19" s="38">
        <f t="shared" si="3"/>
        <v>-5.4591912982281832E-2</v>
      </c>
    </row>
    <row r="20" spans="1:9">
      <c r="A20" s="31" t="s">
        <v>53</v>
      </c>
      <c r="B20" s="28">
        <f>'Mean order price'!V7</f>
        <v>9.7720317460317467</v>
      </c>
      <c r="C20" s="28">
        <f t="shared" si="0"/>
        <v>78176.253968253965</v>
      </c>
      <c r="D20" s="29">
        <f t="shared" si="1"/>
        <v>938115.04761904757</v>
      </c>
      <c r="F20" s="30">
        <v>0.54563751190476195</v>
      </c>
      <c r="G20" s="30">
        <f t="shared" si="2"/>
        <v>4365.10009523809</v>
      </c>
      <c r="I20" s="38">
        <f t="shared" si="3"/>
        <v>5.5836649540801572E-2</v>
      </c>
    </row>
    <row r="21" spans="1:9">
      <c r="A21" s="27" t="s">
        <v>54</v>
      </c>
      <c r="B21" s="28">
        <f>'Mean order price'!V8</f>
        <v>6.3738412698412699</v>
      </c>
      <c r="C21" s="28">
        <f t="shared" si="0"/>
        <v>50990.730158730163</v>
      </c>
      <c r="D21" s="29">
        <f t="shared" si="1"/>
        <v>611888.76190476189</v>
      </c>
      <c r="F21" s="30">
        <v>1.9645429999999999</v>
      </c>
      <c r="G21" s="30">
        <f t="shared" si="2"/>
        <v>15716.343999999999</v>
      </c>
      <c r="I21" s="38">
        <f t="shared" si="3"/>
        <v>0.30821963033430289</v>
      </c>
    </row>
    <row r="22" spans="1:9">
      <c r="A22" s="31" t="s">
        <v>55</v>
      </c>
      <c r="B22" s="28">
        <f>'Mean order price'!V9</f>
        <v>6.8580952380952391</v>
      </c>
      <c r="C22" s="28">
        <f t="shared" si="0"/>
        <v>54864.761904761916</v>
      </c>
      <c r="D22" s="29">
        <f t="shared" si="1"/>
        <v>658377.14285714296</v>
      </c>
      <c r="F22" s="30">
        <v>1.2810739642857101</v>
      </c>
      <c r="G22" s="30">
        <f t="shared" si="2"/>
        <v>10248.5917142857</v>
      </c>
      <c r="I22" s="38">
        <f t="shared" si="3"/>
        <v>0.18679734238300172</v>
      </c>
    </row>
    <row r="23" spans="1:9">
      <c r="A23" s="31" t="s">
        <v>56</v>
      </c>
      <c r="B23" s="28">
        <f>'Mean order price'!V10</f>
        <v>12.064888888888891</v>
      </c>
      <c r="C23" s="28">
        <f t="shared" si="0"/>
        <v>96519.111111111124</v>
      </c>
      <c r="D23" s="29">
        <f t="shared" si="1"/>
        <v>1158229.3333333335</v>
      </c>
      <c r="F23" s="30">
        <v>4.89655533333333</v>
      </c>
      <c r="G23" s="30">
        <f t="shared" si="2"/>
        <v>39172.442666666699</v>
      </c>
      <c r="I23" s="38">
        <f t="shared" si="3"/>
        <v>0.40585167243792791</v>
      </c>
    </row>
    <row r="25" spans="1:9">
      <c r="A25" s="32" t="str">
        <f>A17</f>
        <v>Cincinnati</v>
      </c>
      <c r="B25" s="26" t="s">
        <v>105</v>
      </c>
      <c r="C25" s="26" t="s">
        <v>106</v>
      </c>
    </row>
    <row r="26" spans="1:9">
      <c r="A26" s="26" t="s">
        <v>107</v>
      </c>
      <c r="B26" s="33">
        <f>C17</f>
        <v>63525.333333333343</v>
      </c>
      <c r="C26" s="33">
        <f>B26*12</f>
        <v>762304.00000000012</v>
      </c>
    </row>
    <row r="27" spans="1:9">
      <c r="A27" s="26" t="s">
        <v>108</v>
      </c>
      <c r="B27" s="33">
        <f>B26-B28</f>
        <v>38982.564571428542</v>
      </c>
      <c r="C27" s="33">
        <f>C26-C28</f>
        <v>467790.77485714311</v>
      </c>
    </row>
    <row r="28" spans="1:9">
      <c r="A28" s="26" t="s">
        <v>64</v>
      </c>
      <c r="B28" s="33">
        <f>G17</f>
        <v>24542.768761904801</v>
      </c>
      <c r="C28" s="33">
        <f>B28*12</f>
        <v>294513.225142857</v>
      </c>
    </row>
    <row r="29" spans="1:9" s="16" customFormat="1">
      <c r="A29" s="34" t="s">
        <v>109</v>
      </c>
      <c r="B29" s="35">
        <f>B28/B26</f>
        <v>0.38634616261079252</v>
      </c>
      <c r="C29" s="35">
        <f>C28/C26</f>
        <v>0.38634616261079169</v>
      </c>
    </row>
    <row r="30" spans="1:9">
      <c r="A30" s="26" t="s">
        <v>110</v>
      </c>
      <c r="B30" s="33">
        <f>SUM(B31:B34)</f>
        <v>13400</v>
      </c>
      <c r="C30" s="33">
        <f>SUM(C31:C34)</f>
        <v>160800</v>
      </c>
    </row>
    <row r="31" spans="1:9">
      <c r="A31" s="36" t="s">
        <v>111</v>
      </c>
      <c r="B31" s="33">
        <v>4000</v>
      </c>
      <c r="C31" s="33">
        <f>B31*12</f>
        <v>48000</v>
      </c>
    </row>
    <row r="32" spans="1:9">
      <c r="A32" s="36" t="s">
        <v>112</v>
      </c>
      <c r="B32" s="33">
        <f>7*B5*B11*4</f>
        <v>8400</v>
      </c>
      <c r="C32" s="33">
        <f>B32*12</f>
        <v>100800</v>
      </c>
    </row>
    <row r="33" spans="1:4">
      <c r="A33" s="36" t="s">
        <v>113</v>
      </c>
      <c r="B33" s="33">
        <v>500</v>
      </c>
      <c r="C33" s="33">
        <f>B33*12</f>
        <v>6000</v>
      </c>
    </row>
    <row r="34" spans="1:4">
      <c r="A34" s="36" t="s">
        <v>114</v>
      </c>
      <c r="B34" s="33">
        <v>500</v>
      </c>
      <c r="C34" s="33">
        <f>B34*12</f>
        <v>6000</v>
      </c>
    </row>
    <row r="35" spans="1:4">
      <c r="A35" s="26" t="s">
        <v>115</v>
      </c>
      <c r="B35" s="33">
        <f>B28-SUM(B31:B34)</f>
        <v>11142.768761904799</v>
      </c>
      <c r="C35" s="33">
        <f>C28-SUM(C31:C34)</f>
        <v>133713.225142857</v>
      </c>
    </row>
    <row r="36" spans="1:4">
      <c r="A36" s="26" t="s">
        <v>116</v>
      </c>
      <c r="B36" s="37">
        <f>60000/10/12</f>
        <v>500</v>
      </c>
      <c r="C36" s="37">
        <f>60000/10</f>
        <v>6000</v>
      </c>
      <c r="D36" t="s">
        <v>117</v>
      </c>
    </row>
    <row r="37" spans="1:4">
      <c r="A37" s="26" t="s">
        <v>118</v>
      </c>
      <c r="B37" s="33">
        <f>B35-B36</f>
        <v>10642.768761904799</v>
      </c>
      <c r="C37" s="33">
        <f>C35-C36</f>
        <v>127713.225142857</v>
      </c>
    </row>
    <row r="38" spans="1:4" s="16" customFormat="1">
      <c r="A38" s="34" t="s">
        <v>119</v>
      </c>
      <c r="B38" s="35">
        <f>B37/B26</f>
        <v>0.16753581923072366</v>
      </c>
      <c r="C38" s="35">
        <f>C37/C26</f>
        <v>0.16753581923072289</v>
      </c>
    </row>
    <row r="39" spans="1:4">
      <c r="A39" s="26" t="s">
        <v>120</v>
      </c>
      <c r="B39" s="33">
        <f>B37*0.07</f>
        <v>744.99381333333395</v>
      </c>
      <c r="C39" s="33">
        <f>C37*0.05</f>
        <v>6385.6612571428604</v>
      </c>
      <c r="D39" t="s">
        <v>121</v>
      </c>
    </row>
    <row r="40" spans="1:4">
      <c r="A40" s="26" t="s">
        <v>122</v>
      </c>
      <c r="B40" s="33">
        <f>B37-B39</f>
        <v>9897.7749485714303</v>
      </c>
      <c r="C40" s="33">
        <f>C37-C39</f>
        <v>121327.563885714</v>
      </c>
    </row>
    <row r="41" spans="1:4" s="16" customFormat="1">
      <c r="A41" s="34" t="s">
        <v>123</v>
      </c>
      <c r="B41" s="35">
        <f>B40/B26</f>
        <v>0.15580831188457248</v>
      </c>
      <c r="C41" s="35">
        <f>C40/C26</f>
        <v>0.15915902826918654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B2:I15"/>
  <sheetViews>
    <sheetView tabSelected="1" zoomScale="70" zoomScaleNormal="70" workbookViewId="0">
      <selection activeCell="O9" sqref="O9"/>
    </sheetView>
  </sheetViews>
  <sheetFormatPr defaultColWidth="8.125" defaultRowHeight="15"/>
  <cols>
    <col min="1" max="1" width="8.125" style="1"/>
    <col min="2" max="2" width="34.5" style="1" customWidth="1"/>
    <col min="3" max="3" width="17.5" style="1" customWidth="1"/>
    <col min="4" max="4" width="13.25" style="1" customWidth="1"/>
    <col min="5" max="5" width="12.25" style="1" customWidth="1"/>
    <col min="6" max="6" width="14.25" style="1" customWidth="1"/>
    <col min="7" max="7" width="12.75" style="1" customWidth="1"/>
    <col min="8" max="8" width="11.25" style="1" customWidth="1"/>
    <col min="9" max="9" width="14" style="1" customWidth="1"/>
    <col min="10" max="16384" width="8.125" style="1"/>
  </cols>
  <sheetData>
    <row r="2" spans="2:9">
      <c r="B2" s="2"/>
      <c r="C2" s="2"/>
      <c r="D2" s="2"/>
      <c r="E2" s="2"/>
      <c r="F2" s="2"/>
      <c r="G2" s="2"/>
      <c r="H2" s="2"/>
      <c r="I2" s="2"/>
    </row>
    <row r="3" spans="2:9">
      <c r="B3" s="98" t="s">
        <v>124</v>
      </c>
      <c r="C3" s="99" t="s">
        <v>125</v>
      </c>
      <c r="D3" s="98" t="s">
        <v>126</v>
      </c>
      <c r="E3" s="98" t="s">
        <v>127</v>
      </c>
      <c r="F3" s="98" t="s">
        <v>128</v>
      </c>
      <c r="G3" s="98" t="s">
        <v>129</v>
      </c>
      <c r="H3" s="98" t="s">
        <v>130</v>
      </c>
      <c r="I3" s="98" t="s">
        <v>131</v>
      </c>
    </row>
    <row r="4" spans="2:9" ht="45.6" customHeight="1">
      <c r="B4" s="125" t="s">
        <v>132</v>
      </c>
      <c r="C4" s="100" t="s">
        <v>133</v>
      </c>
      <c r="D4" s="103">
        <v>311.09699999999998</v>
      </c>
      <c r="E4" s="103">
        <v>913.17499999999995</v>
      </c>
      <c r="F4" s="103">
        <v>879.29300000000001</v>
      </c>
      <c r="G4" s="103">
        <v>362.65600000000001</v>
      </c>
      <c r="H4" s="103">
        <v>630.49800000000005</v>
      </c>
      <c r="I4" s="103">
        <v>196.64400000000001</v>
      </c>
    </row>
    <row r="5" spans="2:9" ht="45">
      <c r="B5" s="125" t="s">
        <v>134</v>
      </c>
      <c r="C5" s="100" t="s">
        <v>135</v>
      </c>
      <c r="D5" s="103">
        <v>32.4</v>
      </c>
      <c r="E5" s="103">
        <v>25.7</v>
      </c>
      <c r="F5" s="103">
        <v>26.4</v>
      </c>
      <c r="G5" s="103">
        <v>27</v>
      </c>
      <c r="H5" s="103">
        <v>26.6</v>
      </c>
      <c r="I5" s="103">
        <v>29.9</v>
      </c>
    </row>
    <row r="6" spans="2:9" ht="45">
      <c r="B6" s="125" t="s">
        <v>136</v>
      </c>
      <c r="C6" s="100" t="s">
        <v>137</v>
      </c>
      <c r="D6" s="103">
        <v>51.707000000000001</v>
      </c>
      <c r="E6" s="103">
        <v>78.537999999999997</v>
      </c>
      <c r="F6" s="103">
        <v>62.994999999999997</v>
      </c>
      <c r="G6" s="103">
        <v>39.186999999999998</v>
      </c>
      <c r="H6" s="103">
        <v>88.792000000000002</v>
      </c>
      <c r="I6" s="103">
        <v>44.375999999999998</v>
      </c>
    </row>
    <row r="7" spans="2:9" ht="45">
      <c r="B7" s="125" t="s">
        <v>138</v>
      </c>
      <c r="C7" s="100" t="s">
        <v>139</v>
      </c>
      <c r="D7" s="126">
        <v>0.99369849733397997</v>
      </c>
      <c r="E7" s="103">
        <v>0.283276450511945</v>
      </c>
      <c r="F7" s="103">
        <v>0.16894018887723</v>
      </c>
      <c r="G7" s="103">
        <v>0.51029962546816499</v>
      </c>
      <c r="H7" s="103">
        <v>0.28753993610223599</v>
      </c>
      <c r="I7" s="103">
        <v>0.209140201394268</v>
      </c>
    </row>
    <row r="8" spans="2:9" ht="45">
      <c r="B8" s="125" t="s">
        <v>140</v>
      </c>
      <c r="C8" s="100" t="s">
        <v>141</v>
      </c>
      <c r="D8" s="103">
        <f t="shared" ref="D8:I8" si="0">D14/D4</f>
        <v>0.65895845990157398</v>
      </c>
      <c r="E8" s="103">
        <f t="shared" si="0"/>
        <v>0.181783338352452</v>
      </c>
      <c r="F8" s="103">
        <f t="shared" si="0"/>
        <v>0.18310165098550801</v>
      </c>
      <c r="G8" s="103">
        <f t="shared" si="0"/>
        <v>0.30056031059736998</v>
      </c>
      <c r="H8" s="103">
        <f t="shared" si="0"/>
        <v>0.17129316825747301</v>
      </c>
      <c r="I8" s="103">
        <f t="shared" si="0"/>
        <v>0.41191188136937801</v>
      </c>
    </row>
    <row r="9" spans="2:9" ht="45">
      <c r="B9" s="125" t="s">
        <v>142</v>
      </c>
      <c r="C9" s="100" t="s">
        <v>143</v>
      </c>
      <c r="D9" s="127">
        <v>3.0678460952380999</v>
      </c>
      <c r="E9" s="127">
        <v>1.9020273095238101</v>
      </c>
      <c r="F9" s="127">
        <v>1.9645429999999999</v>
      </c>
      <c r="G9" s="127">
        <v>3.62469897222222</v>
      </c>
      <c r="H9" s="127">
        <v>4.89655533333333</v>
      </c>
      <c r="I9" s="127">
        <v>1.2810739642857101</v>
      </c>
    </row>
    <row r="10" spans="2:9" ht="43.15" customHeight="1">
      <c r="B10" s="125" t="s">
        <v>144</v>
      </c>
      <c r="C10" s="100" t="s">
        <v>145</v>
      </c>
      <c r="D10" s="103">
        <v>50.06</v>
      </c>
      <c r="E10" s="128">
        <v>31.52</v>
      </c>
      <c r="F10" s="128">
        <v>46.56</v>
      </c>
      <c r="G10" s="128">
        <v>64.349999999999994</v>
      </c>
      <c r="H10" s="128">
        <v>66.989999999999995</v>
      </c>
      <c r="I10" s="128">
        <v>62.65</v>
      </c>
    </row>
    <row r="11" spans="2:9">
      <c r="D11" s="14"/>
      <c r="E11" s="14"/>
      <c r="F11" s="14"/>
      <c r="G11" s="14"/>
      <c r="H11" s="14"/>
      <c r="I11" s="14"/>
    </row>
    <row r="12" spans="2:9">
      <c r="B12" s="2" t="s">
        <v>146</v>
      </c>
      <c r="C12" s="2"/>
      <c r="D12" s="2"/>
      <c r="E12" s="2"/>
      <c r="F12" s="2"/>
      <c r="G12" s="2"/>
      <c r="H12" s="2"/>
      <c r="I12" s="2"/>
    </row>
    <row r="13" spans="2:9">
      <c r="B13" s="8" t="s">
        <v>147</v>
      </c>
      <c r="C13" s="8"/>
      <c r="D13" s="9">
        <v>206.3</v>
      </c>
      <c r="E13" s="9">
        <v>586</v>
      </c>
      <c r="F13" s="9">
        <v>953</v>
      </c>
      <c r="G13" s="9">
        <v>213.6</v>
      </c>
      <c r="H13" s="9">
        <v>375.6</v>
      </c>
      <c r="I13" s="9">
        <v>387.3</v>
      </c>
    </row>
    <row r="14" spans="2:9">
      <c r="B14" s="8" t="s">
        <v>148</v>
      </c>
      <c r="C14" s="8"/>
      <c r="D14" s="10">
        <v>205</v>
      </c>
      <c r="E14" s="10">
        <v>166</v>
      </c>
      <c r="F14" s="10">
        <v>161</v>
      </c>
      <c r="G14" s="10">
        <v>109</v>
      </c>
      <c r="H14" s="10">
        <v>108</v>
      </c>
      <c r="I14" s="10">
        <v>81</v>
      </c>
    </row>
    <row r="15" spans="2:9">
      <c r="B15" s="8" t="s">
        <v>149</v>
      </c>
      <c r="C15" s="8"/>
      <c r="D15" s="11">
        <v>1.29950769230769</v>
      </c>
      <c r="E15" s="11">
        <v>0.90460897435897503</v>
      </c>
      <c r="F15" s="11">
        <v>0.68713141025641</v>
      </c>
      <c r="G15" s="11">
        <v>1.33011602564103</v>
      </c>
      <c r="H15" s="11">
        <v>1.90330256410256</v>
      </c>
      <c r="I15" s="11">
        <v>0.54414166666666697</v>
      </c>
    </row>
  </sheetData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59999389629810485"/>
  </sheetPr>
  <dimension ref="B1:P16"/>
  <sheetViews>
    <sheetView zoomScale="85" zoomScaleNormal="85" workbookViewId="0">
      <selection activeCell="Q8" sqref="Q8"/>
    </sheetView>
  </sheetViews>
  <sheetFormatPr defaultColWidth="8.125" defaultRowHeight="15"/>
  <cols>
    <col min="1" max="1" width="8.125" style="1"/>
    <col min="2" max="2" width="34.5" style="1" customWidth="1"/>
    <col min="3" max="3" width="19.625" style="1" customWidth="1"/>
    <col min="4" max="4" width="13.25" style="1" customWidth="1"/>
    <col min="5" max="5" width="12.25" style="1" customWidth="1"/>
    <col min="6" max="6" width="14.25" style="1" customWidth="1"/>
    <col min="7" max="7" width="12.75" style="1" customWidth="1"/>
    <col min="8" max="8" width="11.25" style="1" customWidth="1"/>
    <col min="9" max="9" width="14" style="1" customWidth="1"/>
    <col min="10" max="16384" width="8.125" style="1"/>
  </cols>
  <sheetData>
    <row r="1" spans="2:16" ht="15.75" thickBot="1"/>
    <row r="2" spans="2:16" ht="15.75" thickBot="1">
      <c r="B2" s="110" t="s">
        <v>153</v>
      </c>
      <c r="C2" s="111"/>
      <c r="D2" s="111"/>
      <c r="E2" s="111"/>
      <c r="F2" s="111"/>
      <c r="G2" s="111"/>
      <c r="H2" s="111"/>
      <c r="I2" s="112"/>
    </row>
    <row r="3" spans="2:16">
      <c r="B3" s="115" t="s">
        <v>124</v>
      </c>
      <c r="C3" s="116" t="s">
        <v>125</v>
      </c>
      <c r="D3" s="113" t="s">
        <v>150</v>
      </c>
      <c r="E3" s="113" t="s">
        <v>127</v>
      </c>
      <c r="F3" s="113" t="s">
        <v>128</v>
      </c>
      <c r="G3" s="113" t="s">
        <v>129</v>
      </c>
      <c r="H3" s="113" t="s">
        <v>130</v>
      </c>
      <c r="I3" s="114" t="s">
        <v>131</v>
      </c>
    </row>
    <row r="4" spans="2:16" ht="42" customHeight="1">
      <c r="B4" s="108" t="s">
        <v>132</v>
      </c>
      <c r="C4" s="106" t="s">
        <v>133</v>
      </c>
      <c r="D4" s="101">
        <v>0.5</v>
      </c>
      <c r="E4" s="101">
        <v>1</v>
      </c>
      <c r="F4" s="101">
        <v>1</v>
      </c>
      <c r="G4" s="101">
        <v>0.5</v>
      </c>
      <c r="H4" s="101">
        <v>1</v>
      </c>
      <c r="I4" s="104">
        <v>0</v>
      </c>
    </row>
    <row r="5" spans="2:16" ht="45">
      <c r="B5" s="109" t="s">
        <v>134</v>
      </c>
      <c r="C5" s="107" t="s">
        <v>135</v>
      </c>
      <c r="D5" s="101">
        <v>1</v>
      </c>
      <c r="E5" s="101">
        <v>0.5</v>
      </c>
      <c r="F5" s="101">
        <v>0.5</v>
      </c>
      <c r="G5" s="101">
        <v>0.5</v>
      </c>
      <c r="H5" s="101">
        <v>0.5</v>
      </c>
      <c r="I5" s="104">
        <v>0.5</v>
      </c>
    </row>
    <row r="6" spans="2:16" ht="45">
      <c r="B6" s="109" t="s">
        <v>136</v>
      </c>
      <c r="C6" s="107" t="s">
        <v>137</v>
      </c>
      <c r="D6" s="101">
        <v>0.5</v>
      </c>
      <c r="E6" s="101">
        <v>1</v>
      </c>
      <c r="F6" s="101">
        <v>0.5</v>
      </c>
      <c r="G6" s="101">
        <v>0</v>
      </c>
      <c r="H6" s="101">
        <v>1</v>
      </c>
      <c r="I6" s="104">
        <v>0</v>
      </c>
    </row>
    <row r="7" spans="2:16" ht="45">
      <c r="B7" s="109" t="s">
        <v>138</v>
      </c>
      <c r="C7" s="107" t="s">
        <v>141</v>
      </c>
      <c r="D7" s="102">
        <v>0.5</v>
      </c>
      <c r="E7" s="101">
        <v>0</v>
      </c>
      <c r="F7" s="101">
        <v>0</v>
      </c>
      <c r="G7" s="101">
        <v>1</v>
      </c>
      <c r="H7" s="101">
        <v>0</v>
      </c>
      <c r="I7" s="104">
        <v>0</v>
      </c>
    </row>
    <row r="8" spans="2:16" ht="45">
      <c r="B8" s="109" t="s">
        <v>140</v>
      </c>
      <c r="C8" s="107" t="s">
        <v>141</v>
      </c>
      <c r="D8" s="101">
        <v>0.5</v>
      </c>
      <c r="E8" s="101">
        <v>0</v>
      </c>
      <c r="F8" s="101">
        <v>0</v>
      </c>
      <c r="G8" s="101">
        <v>0</v>
      </c>
      <c r="H8" s="101">
        <v>0</v>
      </c>
      <c r="I8" s="104">
        <v>1</v>
      </c>
    </row>
    <row r="9" spans="2:16" ht="45">
      <c r="B9" s="109" t="s">
        <v>142</v>
      </c>
      <c r="C9" s="107" t="s">
        <v>143</v>
      </c>
      <c r="D9" s="101">
        <v>1</v>
      </c>
      <c r="E9" s="101">
        <v>0.5</v>
      </c>
      <c r="F9" s="101">
        <v>0.5</v>
      </c>
      <c r="G9" s="101">
        <v>1</v>
      </c>
      <c r="H9" s="101">
        <v>1</v>
      </c>
      <c r="I9" s="104">
        <v>0.5</v>
      </c>
    </row>
    <row r="10" spans="2:16" ht="45">
      <c r="B10" s="109" t="s">
        <v>144</v>
      </c>
      <c r="C10" s="107" t="s">
        <v>145</v>
      </c>
      <c r="D10" s="103">
        <v>0</v>
      </c>
      <c r="E10" s="103">
        <v>1</v>
      </c>
      <c r="F10" s="103">
        <v>0.5</v>
      </c>
      <c r="G10" s="103">
        <v>0</v>
      </c>
      <c r="H10" s="103">
        <v>0</v>
      </c>
      <c r="I10" s="105">
        <v>0</v>
      </c>
      <c r="K10" s="4"/>
      <c r="L10" s="12"/>
      <c r="M10" s="12"/>
      <c r="N10" s="12"/>
      <c r="O10" s="12"/>
      <c r="P10" s="12"/>
    </row>
    <row r="11" spans="2:16">
      <c r="B11" s="117" t="s">
        <v>152</v>
      </c>
      <c r="C11" s="120"/>
      <c r="D11" s="118">
        <f t="shared" ref="D11:I11" si="0">SUM(D4:D10)</f>
        <v>4</v>
      </c>
      <c r="E11" s="118">
        <f t="shared" si="0"/>
        <v>4</v>
      </c>
      <c r="F11" s="118">
        <f t="shared" si="0"/>
        <v>3</v>
      </c>
      <c r="G11" s="118">
        <f t="shared" si="0"/>
        <v>3</v>
      </c>
      <c r="H11" s="118">
        <f t="shared" si="0"/>
        <v>3.5</v>
      </c>
      <c r="I11" s="119">
        <f t="shared" si="0"/>
        <v>2</v>
      </c>
    </row>
    <row r="12" spans="2:16" ht="15.75" thickBot="1">
      <c r="B12" s="121" t="s">
        <v>151</v>
      </c>
      <c r="C12" s="122"/>
      <c r="D12" s="123">
        <v>1</v>
      </c>
      <c r="E12" s="123">
        <v>2</v>
      </c>
      <c r="F12" s="123">
        <v>5</v>
      </c>
      <c r="G12" s="123">
        <v>4</v>
      </c>
      <c r="H12" s="123">
        <v>3</v>
      </c>
      <c r="I12" s="124">
        <v>6</v>
      </c>
    </row>
    <row r="13" spans="2:16">
      <c r="B13" s="3"/>
      <c r="C13" s="6"/>
      <c r="D13" s="7"/>
      <c r="E13" s="7"/>
      <c r="F13" s="7"/>
      <c r="G13" s="7"/>
      <c r="H13" s="7"/>
      <c r="I13" s="7"/>
      <c r="J13" s="5"/>
    </row>
    <row r="14" spans="2:16">
      <c r="B14" s="8" t="s">
        <v>147</v>
      </c>
      <c r="C14" s="8"/>
      <c r="D14" s="9">
        <v>206.3</v>
      </c>
      <c r="E14" s="9">
        <v>586</v>
      </c>
      <c r="F14" s="9">
        <v>953</v>
      </c>
      <c r="G14" s="9">
        <v>213.6</v>
      </c>
      <c r="H14" s="9">
        <v>375.6</v>
      </c>
      <c r="I14" s="9">
        <v>387.3</v>
      </c>
      <c r="J14" s="13"/>
      <c r="K14" s="13"/>
    </row>
    <row r="15" spans="2:16">
      <c r="B15" s="8" t="s">
        <v>148</v>
      </c>
      <c r="C15" s="8"/>
      <c r="D15" s="10">
        <v>205</v>
      </c>
      <c r="E15" s="10">
        <v>166</v>
      </c>
      <c r="F15" s="10">
        <v>161</v>
      </c>
      <c r="G15" s="10">
        <v>109</v>
      </c>
      <c r="H15" s="10">
        <v>108</v>
      </c>
      <c r="I15" s="10">
        <v>81</v>
      </c>
      <c r="J15" s="13"/>
      <c r="K15" s="13"/>
    </row>
    <row r="16" spans="2:16">
      <c r="B16" s="8" t="s">
        <v>149</v>
      </c>
      <c r="C16" s="8"/>
      <c r="D16" s="11">
        <v>1.29950769230769</v>
      </c>
      <c r="E16" s="11">
        <v>0.90460897435897503</v>
      </c>
      <c r="F16" s="11">
        <v>0.68713141025641</v>
      </c>
      <c r="G16" s="11">
        <v>1.33011602564103</v>
      </c>
      <c r="H16" s="11">
        <v>1.90330256410256</v>
      </c>
      <c r="I16" s="11">
        <v>0.54414166666666697</v>
      </c>
      <c r="J16" s="13"/>
      <c r="K16" s="13"/>
    </row>
  </sheetData>
  <mergeCells count="1">
    <mergeCell ref="B2:I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Inputs --&gt;</vt:lpstr>
      <vt:lpstr>Menu and cost - Russia</vt:lpstr>
      <vt:lpstr>COGS</vt:lpstr>
      <vt:lpstr>Order Composition</vt:lpstr>
      <vt:lpstr>Solution --&gt;</vt:lpstr>
      <vt:lpstr>Mean order price</vt:lpstr>
      <vt:lpstr>Menu and cost - USA by city</vt:lpstr>
      <vt:lpstr>Pivot tables</vt:lpstr>
      <vt:lpstr>Revenue&amp;Margin</vt:lpstr>
      <vt:lpstr>Priority</vt:lpstr>
      <vt:lpstr>Total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Lisitsyn, Fedor</dc:creator>
  <cp:lastModifiedBy>Владимир Пастухов</cp:lastModifiedBy>
  <dcterms:created xsi:type="dcterms:W3CDTF">2021-10-21T16:13:00Z</dcterms:created>
  <dcterms:modified xsi:type="dcterms:W3CDTF">2025-11-14T18:11:51Z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F13D6F793D3E455D8196288F71967407_13</vt:lpwstr>
  </property>
  <property fmtid="{D5CDD505-2E9C-101B-9397-08002B2CF9AE}" pid="5" name="KSOProductBuildVer">
    <vt:lpwstr>1049-12.2.0.23131</vt:lpwstr>
  </property>
</Properties>
</file>